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학생별 정리" sheetId="2" state="visible" r:id="rId4"/>
    <sheet name="항목별 — 앱 체크" sheetId="3" state="visible" r:id="rId5"/>
    <sheet name="확인 필요" sheetId="4" state="visible" r:id="rId6"/>
    <sheet name="올톡페이 원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<sst xmlns="http://schemas.openxmlformats.org/spreadsheetml/2006/main" count="4086" uniqueCount="979">
  <si>
    <r>
      <rPr>
        <b val="true"/>
        <sz val="14"/>
        <rFont val="Arial"/>
        <family val="0"/>
        <charset val="1"/>
      </rPr>
      <t xml:space="preserve">8/20~9/11 </t>
    </r>
    <r>
      <rPr>
        <b val="true"/>
        <sz val="14"/>
        <rFont val="Noto Sans CJK SC"/>
        <family val="2"/>
      </rPr>
      <t xml:space="preserve">올톡페이 청구 정리 — 청구서 발행 전 대사</t>
    </r>
  </si>
  <si>
    <t xml:space="preserve">만든 날: 2026-09-14  ·  자료: 올톡페이 청구서관리목록 285줄 + 2026 Term1 Invoice 엑셀 + 운영앱 항목 체크</t>
  </si>
  <si>
    <t xml:space="preserve">기준: 「앱이 받아야 한다는 돈(항목 체크 합계)」에서 「올톡페이로 실제 받은 돈(결제완료)」을 뺀 값이 남은 돈입니다.</t>
  </si>
  <si>
    <t xml:space="preserve">■ 상태별</t>
  </si>
  <si>
    <t xml:space="preserve">상태</t>
  </si>
  <si>
    <t xml:space="preserve">인원</t>
  </si>
  <si>
    <t xml:space="preserve">받아야 할 돈</t>
  </si>
  <si>
    <t xml:space="preserve">받은 돈</t>
  </si>
  <si>
    <t xml:space="preserve">남은 돈</t>
  </si>
  <si>
    <t xml:space="preserve">뜻</t>
  </si>
  <si>
    <t xml:space="preserve">미납</t>
  </si>
  <si>
    <t xml:space="preserve">청구는 나갔는데 한 푼도 안 들어옴</t>
  </si>
  <si>
    <t xml:space="preserve">일부 납부</t>
  </si>
  <si>
    <t xml:space="preserve">일부만 들어옴 — 나머지를 청구해야 함</t>
  </si>
  <si>
    <t xml:space="preserve">아직 청구 안 함</t>
  </si>
  <si>
    <t xml:space="preserve">올톡페이로 한 번도 안 나감</t>
  </si>
  <si>
    <t xml:space="preserve">과수납 확인</t>
  </si>
  <si>
    <t xml:space="preserve">받은 돈이 더 많음 — 확인 필요</t>
  </si>
  <si>
    <t xml:space="preserve">명부에 없음</t>
  </si>
  <si>
    <t xml:space="preserve">학생이 아니거나 이름이 오염된 줄</t>
  </si>
  <si>
    <t xml:space="preserve">합계</t>
  </si>
  <si>
    <t xml:space="preserve">■ 가장 중요한 발견</t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</si>
  <si>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「</t>
    </r>
    <r>
      <rPr>
        <b val="true"/>
        <sz val="10"/>
        <rFont val="Arial"/>
        <family val="0"/>
        <charset val="1"/>
      </rPr>
      <t xml:space="preserve">Learning Management &amp; Assessment</t>
    </r>
    <r>
      <rPr>
        <b val="true"/>
        <sz val="10"/>
        <rFont val="Noto Sans CJK SC"/>
        <family val="2"/>
      </rPr>
      <t xml:space="preserve">」 </t>
    </r>
    <r>
      <rPr>
        <b val="true"/>
        <sz val="10"/>
        <rFont val="Arial"/>
        <family val="0"/>
        <charset val="1"/>
      </rPr>
      <t xml:space="preserve">300,000</t>
    </r>
    <r>
      <rPr>
        <b val="true"/>
        <sz val="10"/>
        <rFont val="Noto Sans CJK SC"/>
        <family val="2"/>
      </rPr>
      <t xml:space="preserve">원 </t>
    </r>
    <r>
      <rPr>
        <b val="true"/>
        <sz val="10"/>
        <rFont val="Arial"/>
        <family val="0"/>
        <charset val="1"/>
      </rPr>
      <t xml:space="preserve">× 137</t>
    </r>
    <r>
      <rPr>
        <b val="true"/>
        <sz val="10"/>
        <rFont val="Noto Sans CJK SC"/>
        <family val="2"/>
      </rPr>
      <t xml:space="preserve">명 </t>
    </r>
    <r>
      <rPr>
        <b val="true"/>
        <sz val="10"/>
        <rFont val="Arial"/>
        <family val="0"/>
        <charset val="1"/>
      </rPr>
      <t xml:space="preserve">= 41,100,000</t>
    </r>
    <r>
      <rPr>
        <b val="true"/>
        <sz val="10"/>
        <rFont val="Noto Sans CJK SC"/>
        <family val="2"/>
      </rPr>
      <t xml:space="preserve">원</t>
    </r>
  </si>
  <si>
    <t xml:space="preserve">   앱에는 전원에게 체크돼 있는데 올톡페이로 한 번도 청구된 적이 없습니다. 남은 돈 6,279만원의 3분의 2가 이것입니다.</t>
  </si>
  <si>
    <r>
      <rPr>
        <b val="true"/>
        <sz val="10"/>
        <rFont val="Arial"/>
        <family val="0"/>
        <charset val="1"/>
      </rPr>
      <t xml:space="preserve">· 8</t>
    </r>
    <r>
      <rPr>
        <b val="true"/>
        <sz val="10"/>
        <rFont val="Noto Sans CJK SC"/>
        <family val="2"/>
      </rPr>
      <t xml:space="preserve">월 교재비 청구는 「교과서만」이었습니다</t>
    </r>
  </si>
  <si>
    <t xml:space="preserve">   예: 노유겸 — 앱 교재 491,000원인데 8/31 올톡 청구는 191,000원. 차액 300,000원이 위 항목입니다.</t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</si>
  <si>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중고등부 </t>
    </r>
    <r>
      <rPr>
        <b val="true"/>
        <sz val="10"/>
        <rFont val="Arial"/>
        <family val="0"/>
        <charset val="1"/>
      </rPr>
      <t xml:space="preserve">39</t>
    </r>
    <r>
      <rPr>
        <b val="true"/>
        <sz val="10"/>
        <rFont val="Noto Sans CJK SC"/>
        <family val="2"/>
      </rPr>
      <t xml:space="preserve">명은 아예 청구가 안 나갔습니다</t>
    </r>
  </si>
  <si>
    <t xml:space="preserve">   합계 21,263,400원. 8~9월 올톡페이는 초등부 교복·교재 위주였습니다.</t>
  </si>
  <si>
    <r>
      <rPr>
        <b val="true"/>
        <sz val="10"/>
        <rFont val="Arial"/>
        <family val="0"/>
        <charset val="1"/>
      </rPr>
      <t xml:space="preserve">· 9/11 </t>
    </r>
    <r>
      <rPr>
        <b val="true"/>
        <sz val="10"/>
        <rFont val="Noto Sans CJK SC"/>
        <family val="2"/>
      </rPr>
      <t xml:space="preserve">「미납인보이스 정산」 </t>
    </r>
    <r>
      <rPr>
        <b val="true"/>
        <sz val="10"/>
        <rFont val="Arial"/>
        <family val="0"/>
        <charset val="1"/>
      </rPr>
      <t xml:space="preserve">38</t>
    </r>
    <r>
      <rPr>
        <b val="true"/>
        <sz val="10"/>
        <rFont val="Noto Sans CJK SC"/>
        <family val="2"/>
      </rPr>
      <t xml:space="preserve">건 </t>
    </r>
    <r>
      <rPr>
        <b val="true"/>
        <sz val="10"/>
        <rFont val="Arial"/>
        <family val="0"/>
        <charset val="1"/>
      </rPr>
      <t xml:space="preserve">4,554</t>
    </r>
    <r>
      <rPr>
        <b val="true"/>
        <sz val="10"/>
        <rFont val="Noto Sans CJK SC"/>
        <family val="2"/>
      </rPr>
      <t xml:space="preserve">만원은 재청구입니다</t>
    </r>
  </si>
  <si>
    <t xml:space="preserve">   교재·교복 미납을 다시 부른 것이라, 원래 미납과 겹칩니다. 이 표는 겹치지 않게 「받은 돈」만 뺐습니다.</t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</si>
  <si>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결제중단 </t>
    </r>
    <r>
      <rPr>
        <b val="true"/>
        <sz val="10"/>
        <rFont val="Arial"/>
        <family val="0"/>
        <charset val="1"/>
      </rPr>
      <t xml:space="preserve">3,426,100</t>
    </r>
    <r>
      <rPr>
        <b val="true"/>
        <sz val="10"/>
        <rFont val="Noto Sans CJK SC"/>
        <family val="2"/>
      </rPr>
      <t xml:space="preserve">원</t>
    </r>
  </si>
  <si>
    <t xml:space="preserve">   학교가 다시 발행하려고 멈춘 건입니다. 다시 보낸 줄이 있으면 정상이고, 없으면 그 아이는 청구서를 못 받은 것입니다.</t>
  </si>
  <si>
    <r>
      <rPr>
        <sz val="9"/>
        <color rgb="FF666666"/>
        <rFont val="Noto Sans CJK SC"/>
        <family val="2"/>
      </rPr>
      <t xml:space="preserve">※ 「남은 돈」 합계 </t>
    </r>
    <r>
      <rPr>
        <sz val="9"/>
        <color rgb="FF666666"/>
        <rFont val="Arial"/>
        <family val="0"/>
        <charset val="1"/>
      </rPr>
      <t xml:space="preserve">62,787,900</t>
    </r>
    <r>
      <rPr>
        <sz val="9"/>
        <color rgb="FF666666"/>
        <rFont val="Noto Sans CJK SC"/>
        <family val="2"/>
      </rPr>
      <t xml:space="preserve">원은 과수납</t>
    </r>
    <r>
      <rPr>
        <sz val="9"/>
        <color rgb="FF666666"/>
        <rFont val="Arial"/>
        <family val="0"/>
        <charset val="1"/>
      </rPr>
      <t xml:space="preserve">(4</t>
    </r>
    <r>
      <rPr>
        <sz val="9"/>
        <color rgb="FF666666"/>
        <rFont val="Noto Sans CJK SC"/>
        <family val="2"/>
      </rPr>
      <t xml:space="preserve">명 </t>
    </r>
    <r>
      <rPr>
        <sz val="9"/>
        <color rgb="FF666666"/>
        <rFont val="Arial"/>
        <family val="0"/>
        <charset val="1"/>
      </rPr>
      <t xml:space="preserve">2,160,600</t>
    </r>
    <r>
      <rPr>
        <sz val="9"/>
        <color rgb="FF666666"/>
        <rFont val="Noto Sans CJK SC"/>
        <family val="2"/>
      </rPr>
      <t xml:space="preserve">원</t>
    </r>
    <r>
      <rPr>
        <sz val="9"/>
        <color rgb="FF666666"/>
        <rFont val="Arial"/>
        <family val="0"/>
        <charset val="1"/>
      </rPr>
      <t xml:space="preserve">)</t>
    </r>
    <r>
      <rPr>
        <sz val="9"/>
        <color rgb="FF666666"/>
        <rFont val="Noto Sans CJK SC"/>
        <family val="2"/>
      </rPr>
      <t xml:space="preserve">을 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으로 보고 더한 값입니다</t>
    </r>
    <r>
      <rPr>
        <sz val="9"/>
        <color rgb="FF666666"/>
        <rFont val="Arial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</si>
  <si>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   학생별 정리 시트의 합계 </t>
    </r>
    <r>
      <rPr>
        <sz val="9"/>
        <color rgb="FF666666"/>
        <rFont val="Arial"/>
        <family val="0"/>
        <charset val="1"/>
      </rPr>
      <t xml:space="preserve">60,627,300</t>
    </r>
    <r>
      <rPr>
        <sz val="9"/>
        <color rgb="FF666666"/>
        <rFont val="Noto Sans CJK SC"/>
        <family val="2"/>
      </rPr>
      <t xml:space="preserve">원은 그 과수납을 상계한 값이라 두 숫자가 다릅니다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둘 다 맞습니다</t>
    </r>
    <r>
      <rPr>
        <sz val="9"/>
        <color rgb="FF666666"/>
        <rFont val="Arial"/>
        <family val="0"/>
        <charset val="1"/>
      </rPr>
      <t xml:space="preserve">.</t>
    </r>
  </si>
  <si>
    <t xml:space="preserve">학생별 정리 — 남은 돈이 큰 순서</t>
  </si>
  <si>
    <t xml:space="preserve">「남은 돈」이 지금 청구서를 만들어야 하는 금액입니다. 동명이인은 앱에서 한 명씩 확인하세요.</t>
  </si>
  <si>
    <t xml:space="preserve">학생</t>
  </si>
  <si>
    <t xml:space="preserve">반</t>
  </si>
  <si>
    <t xml:space="preserve">학년</t>
  </si>
  <si>
    <t xml:space="preserve">동명이인</t>
  </si>
  <si>
    <t xml:space="preserve">앱 합계</t>
  </si>
  <si>
    <t xml:space="preserve">앱 교복</t>
  </si>
  <si>
    <t xml:space="preserve">앱 교재</t>
  </si>
  <si>
    <t xml:space="preserve">올톡 교복</t>
  </si>
  <si>
    <t xml:space="preserve">올톡 교재</t>
  </si>
  <si>
    <t xml:space="preserve">올톡 악기</t>
  </si>
  <si>
    <t xml:space="preserve">올톡 미납정산</t>
  </si>
  <si>
    <t xml:space="preserve">받은 돈 계</t>
  </si>
  <si>
    <t xml:space="preserve">보냈지만 미납</t>
  </si>
  <si>
    <t xml:space="preserve">결제중단</t>
  </si>
  <si>
    <t xml:space="preserve">홍선우</t>
  </si>
  <si>
    <t xml:space="preserve">G4S</t>
  </si>
  <si>
    <t xml:space="preserve">4</t>
  </si>
  <si>
    <t xml:space="preserve">전준백</t>
  </si>
  <si>
    <t xml:space="preserve">G2C</t>
  </si>
  <si>
    <t xml:space="preserve">2</t>
  </si>
  <si>
    <t xml:space="preserve">남가인</t>
  </si>
  <si>
    <t xml:space="preserve">지수</t>
  </si>
  <si>
    <t xml:space="preserve">G3JA</t>
  </si>
  <si>
    <t xml:space="preserve">3</t>
  </si>
  <si>
    <t xml:space="preserve">강이제</t>
  </si>
  <si>
    <t xml:space="preserve">G3JU</t>
  </si>
  <si>
    <t xml:space="preserve">이서현</t>
  </si>
  <si>
    <t xml:space="preserve">김요한</t>
  </si>
  <si>
    <t xml:space="preserve">G5E</t>
  </si>
  <si>
    <t xml:space="preserve">5</t>
  </si>
  <si>
    <t xml:space="preserve">정레인</t>
  </si>
  <si>
    <t xml:space="preserve">서민준</t>
  </si>
  <si>
    <t xml:space="preserve">G2A</t>
  </si>
  <si>
    <t xml:space="preserve">강하라</t>
  </si>
  <si>
    <t xml:space="preserve">G4R</t>
  </si>
  <si>
    <t xml:space="preserve">이준원</t>
  </si>
  <si>
    <t xml:space="preserve">이신원</t>
  </si>
  <si>
    <t xml:space="preserve">G2J</t>
  </si>
  <si>
    <t xml:space="preserve">조하윤</t>
  </si>
  <si>
    <t xml:space="preserve">정겨울</t>
  </si>
  <si>
    <t xml:space="preserve">정이엘</t>
  </si>
  <si>
    <t xml:space="preserve">황라원</t>
  </si>
  <si>
    <t xml:space="preserve">이온유</t>
  </si>
  <si>
    <t xml:space="preserve">이한범</t>
  </si>
  <si>
    <t xml:space="preserve">이현우</t>
  </si>
  <si>
    <t xml:space="preserve">김동하</t>
  </si>
  <si>
    <t xml:space="preserve">김서진</t>
  </si>
  <si>
    <t xml:space="preserve">유재이</t>
  </si>
  <si>
    <t xml:space="preserve">임예나</t>
  </si>
  <si>
    <t xml:space="preserve">김준영</t>
  </si>
  <si>
    <t xml:space="preserve">김준원</t>
  </si>
  <si>
    <t xml:space="preserve">김재이</t>
  </si>
  <si>
    <t xml:space="preserve">G2A / G2C / G3JA</t>
  </si>
  <si>
    <t xml:space="preserve">2 / 2 / 3</t>
  </si>
  <si>
    <t xml:space="preserve">예</t>
  </si>
  <si>
    <t xml:space="preserve">이준서</t>
  </si>
  <si>
    <t xml:space="preserve">G3JA / </t>
  </si>
  <si>
    <t xml:space="preserve">3 / 9</t>
  </si>
  <si>
    <t xml:space="preserve">심재이</t>
  </si>
  <si>
    <t xml:space="preserve">김서준</t>
  </si>
  <si>
    <t xml:space="preserve">김리안</t>
  </si>
  <si>
    <t xml:space="preserve">민노엘</t>
  </si>
  <si>
    <t xml:space="preserve">엄하율</t>
  </si>
  <si>
    <t xml:space="preserve">이서준</t>
  </si>
  <si>
    <t xml:space="preserve">황이안</t>
  </si>
  <si>
    <t xml:space="preserve">강하늘</t>
  </si>
  <si>
    <t xml:space="preserve">문준연</t>
  </si>
  <si>
    <t xml:space="preserve">박세주</t>
  </si>
  <si>
    <t xml:space="preserve">황라윤</t>
  </si>
  <si>
    <t xml:space="preserve">김태오</t>
  </si>
  <si>
    <t xml:space="preserve">장예나</t>
  </si>
  <si>
    <t xml:space="preserve">차봄</t>
  </si>
  <si>
    <t xml:space="preserve">이은재</t>
  </si>
  <si>
    <t xml:space="preserve">고이건</t>
  </si>
  <si>
    <t xml:space="preserve">김나율</t>
  </si>
  <si>
    <t xml:space="preserve">김서이</t>
  </si>
  <si>
    <t xml:space="preserve">임주한</t>
  </si>
  <si>
    <t xml:space="preserve">정하임</t>
  </si>
  <si>
    <t xml:space="preserve">황준호</t>
  </si>
  <si>
    <t xml:space="preserve">강예성</t>
  </si>
  <si>
    <t xml:space="preserve">김현수</t>
  </si>
  <si>
    <t xml:space="preserve">백서아</t>
  </si>
  <si>
    <t xml:space="preserve">최서아</t>
  </si>
  <si>
    <t xml:space="preserve">송윤진</t>
  </si>
  <si>
    <t xml:space="preserve">조장훈</t>
  </si>
  <si>
    <t xml:space="preserve">임다현</t>
  </si>
  <si>
    <t xml:space="preserve">곽세린</t>
  </si>
  <si>
    <t xml:space="preserve">김단우</t>
  </si>
  <si>
    <t xml:space="preserve">김도은</t>
  </si>
  <si>
    <t xml:space="preserve">김사랑</t>
  </si>
  <si>
    <t xml:space="preserve">김지민</t>
  </si>
  <si>
    <t xml:space="preserve">박세인</t>
  </si>
  <si>
    <t xml:space="preserve">임하임</t>
  </si>
  <si>
    <t xml:space="preserve">정세진</t>
  </si>
  <si>
    <t xml:space="preserve">주이안</t>
  </si>
  <si>
    <t xml:space="preserve">홍동은</t>
  </si>
  <si>
    <t xml:space="preserve">강서후</t>
  </si>
  <si>
    <t xml:space="preserve">고서윤</t>
  </si>
  <si>
    <t xml:space="preserve">고진우</t>
  </si>
  <si>
    <t xml:space="preserve">곽호율</t>
  </si>
  <si>
    <t xml:space="preserve">권태이</t>
  </si>
  <si>
    <t xml:space="preserve">노유겸</t>
  </si>
  <si>
    <t xml:space="preserve">도윤서</t>
  </si>
  <si>
    <t xml:space="preserve">민송희</t>
  </si>
  <si>
    <t xml:space="preserve">박하솜</t>
  </si>
  <si>
    <t xml:space="preserve">원세빈</t>
  </si>
  <si>
    <t xml:space="preserve">이라엘</t>
  </si>
  <si>
    <t xml:space="preserve">이서아</t>
  </si>
  <si>
    <t xml:space="preserve">이연우</t>
  </si>
  <si>
    <t xml:space="preserve">이예나</t>
  </si>
  <si>
    <t xml:space="preserve">임지효</t>
  </si>
  <si>
    <t xml:space="preserve">전지완</t>
  </si>
  <si>
    <t xml:space="preserve">정서우</t>
  </si>
  <si>
    <t xml:space="preserve">한우영</t>
  </si>
  <si>
    <t xml:space="preserve">홍서형</t>
  </si>
  <si>
    <t xml:space="preserve">황이준</t>
  </si>
  <si>
    <t xml:space="preserve">임선우</t>
  </si>
  <si>
    <t xml:space="preserve">송우진</t>
  </si>
  <si>
    <t xml:space="preserve">연하윤</t>
  </si>
  <si>
    <t xml:space="preserve">이아인</t>
  </si>
  <si>
    <t xml:space="preserve">황시원</t>
  </si>
  <si>
    <t xml:space="preserve">심규민</t>
  </si>
  <si>
    <t xml:space="preserve">이주원</t>
  </si>
  <si>
    <t xml:space="preserve">유한솔</t>
  </si>
  <si>
    <t xml:space="preserve">강여명</t>
  </si>
  <si>
    <t xml:space="preserve">6</t>
  </si>
  <si>
    <t xml:space="preserve">강하엘</t>
  </si>
  <si>
    <t xml:space="preserve">문수민</t>
  </si>
  <si>
    <t xml:space="preserve">박준후</t>
  </si>
  <si>
    <t xml:space="preserve">박지음</t>
  </si>
  <si>
    <t xml:space="preserve">이도후</t>
  </si>
  <si>
    <t xml:space="preserve">정도현</t>
  </si>
  <si>
    <t xml:space="preserve">제이콥 딜런 마</t>
  </si>
  <si>
    <t xml:space="preserve">후안 이그나시오 마누키안</t>
  </si>
  <si>
    <t xml:space="preserve">Mohammed Adam</t>
  </si>
  <si>
    <t xml:space="preserve">10</t>
  </si>
  <si>
    <t xml:space="preserve">노다은</t>
  </si>
  <si>
    <t xml:space="preserve">정에린</t>
  </si>
  <si>
    <t xml:space="preserve">마야</t>
  </si>
  <si>
    <t xml:space="preserve">최서연</t>
  </si>
  <si>
    <t xml:space="preserve">노시엘</t>
  </si>
  <si>
    <t xml:space="preserve">고영</t>
  </si>
  <si>
    <t xml:space="preserve">7</t>
  </si>
  <si>
    <t xml:space="preserve">김도율</t>
  </si>
  <si>
    <t xml:space="preserve">김샤론</t>
  </si>
  <si>
    <t xml:space="preserve">김승후</t>
  </si>
  <si>
    <t xml:space="preserve">김엘리사</t>
  </si>
  <si>
    <t xml:space="preserve">위준완</t>
  </si>
  <si>
    <t xml:space="preserve">유하이</t>
  </si>
  <si>
    <t xml:space="preserve">이준우</t>
  </si>
  <si>
    <t xml:space="preserve">정이건</t>
  </si>
  <si>
    <t xml:space="preserve">최온유</t>
  </si>
  <si>
    <t xml:space="preserve">강하영</t>
  </si>
  <si>
    <t xml:space="preserve">8</t>
  </si>
  <si>
    <t xml:space="preserve">노다혜</t>
  </si>
  <si>
    <t xml:space="preserve">박진우</t>
  </si>
  <si>
    <t xml:space="preserve">에이바</t>
  </si>
  <si>
    <t xml:space="preserve">마리아 파즈 마누키안</t>
  </si>
  <si>
    <t xml:space="preserve">Joshua Min</t>
  </si>
  <si>
    <t xml:space="preserve">9</t>
  </si>
  <si>
    <t xml:space="preserve">김에스더</t>
  </si>
  <si>
    <t xml:space="preserve">이하은</t>
  </si>
  <si>
    <t xml:space="preserve">강윤영</t>
  </si>
  <si>
    <t xml:space="preserve">12+</t>
  </si>
  <si>
    <t xml:space="preserve">김태훈</t>
  </si>
  <si>
    <t xml:space="preserve">12</t>
  </si>
  <si>
    <t xml:space="preserve">신혁</t>
  </si>
  <si>
    <t xml:space="preserve">장하영</t>
  </si>
  <si>
    <t xml:space="preserve">11</t>
  </si>
  <si>
    <t xml:space="preserve">정하담</t>
  </si>
  <si>
    <t xml:space="preserve">한이준</t>
  </si>
  <si>
    <t xml:space="preserve">김태윤</t>
  </si>
  <si>
    <t xml:space="preserve">신민하</t>
  </si>
  <si>
    <t xml:space="preserve">권수호</t>
  </si>
  <si>
    <t xml:space="preserve">이예온</t>
  </si>
  <si>
    <t xml:space="preserve">임세나</t>
  </si>
  <si>
    <t xml:space="preserve">정례인</t>
  </si>
  <si>
    <t xml:space="preserve">권해주</t>
  </si>
  <si>
    <t xml:space="preserve">류연진쌤</t>
  </si>
  <si>
    <t xml:space="preserve">박보은</t>
  </si>
  <si>
    <t xml:space="preserve">이재훈</t>
  </si>
  <si>
    <t xml:space="preserve">이정훈</t>
  </si>
  <si>
    <t xml:space="preserve">애니원감</t>
  </si>
  <si>
    <t xml:space="preserve">강경원</t>
  </si>
  <si>
    <t xml:space="preserve">최서현</t>
  </si>
  <si>
    <t xml:space="preserve">김현수김</t>
  </si>
  <si>
    <t xml:space="preserve">전준벡</t>
  </si>
  <si>
    <r>
      <rPr>
        <sz val="9"/>
        <color rgb="FF666666"/>
        <rFont val="Noto Sans CJK SC"/>
        <family val="2"/>
      </rPr>
      <t xml:space="preserve">← 이 합계</t>
    </r>
    <r>
      <rPr>
        <sz val="9"/>
        <color rgb="FF666666"/>
        <rFont val="Arial"/>
        <family val="0"/>
        <charset val="1"/>
      </rPr>
      <t xml:space="preserve">(60,627,300)</t>
    </r>
    <r>
      <rPr>
        <sz val="9"/>
        <color rgb="FF666666"/>
        <rFont val="Noto Sans CJK SC"/>
        <family val="2"/>
      </rPr>
      <t xml:space="preserve">는 과수납 −</t>
    </r>
    <r>
      <rPr>
        <sz val="9"/>
        <color rgb="FF666666"/>
        <rFont val="Arial"/>
        <family val="0"/>
        <charset val="1"/>
      </rPr>
      <t xml:space="preserve">2,160,600</t>
    </r>
    <r>
      <rPr>
        <sz val="9"/>
        <color rgb="FF666666"/>
        <rFont val="Noto Sans CJK SC"/>
        <family val="2"/>
      </rPr>
      <t xml:space="preserve">을 상계한 값입니다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요약의 </t>
    </r>
    <r>
      <rPr>
        <sz val="9"/>
        <color rgb="FF666666"/>
        <rFont val="Arial"/>
        <family val="0"/>
        <charset val="1"/>
      </rPr>
      <t xml:space="preserve">62,787,900</t>
    </r>
    <r>
      <rPr>
        <sz val="9"/>
        <color rgb="FF666666"/>
        <rFont val="Noto Sans CJK SC"/>
        <family val="2"/>
      </rPr>
      <t xml:space="preserve">은 과수납을 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으로 보고 「실제로 더 받아야 할 돈」만 더한 값입니다</t>
    </r>
    <r>
      <rPr>
        <sz val="9"/>
        <color rgb="FF666666"/>
        <rFont val="Arial"/>
        <family val="0"/>
        <charset val="1"/>
      </rPr>
      <t xml:space="preserve">.</t>
    </r>
  </si>
  <si>
    <t xml:space="preserve">앱에 체크된 항목 (금액 큰 순)</t>
  </si>
  <si>
    <t xml:space="preserve">이것이 「받아야 할 돈」의 내역입니다. 맨 위 항목이 8~9월에 한 번도 청구되지 않았습니다.</t>
  </si>
  <si>
    <t xml:space="preserve">분류</t>
  </si>
  <si>
    <t xml:space="preserve">항목</t>
  </si>
  <si>
    <t xml:space="preserve">붙은 학생 수</t>
  </si>
  <si>
    <t xml:space="preserve">올톡으로 청구됐나</t>
  </si>
  <si>
    <t xml:space="preserve">교재</t>
  </si>
  <si>
    <t xml:space="preserve">Learning Management &amp; Assess</t>
  </si>
  <si>
    <t xml:space="preserve">아니오 — 한 번도 안 나감</t>
  </si>
  <si>
    <t xml:space="preserve">교복</t>
  </si>
  <si>
    <t xml:space="preserve">교복 set</t>
  </si>
  <si>
    <t xml:space="preserve">예 (8/20 교복)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</si>
  <si>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학년 수학</t>
    </r>
  </si>
  <si>
    <t xml:space="preserve">예 (8/31 교재비)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</si>
  <si>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학년 과학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</si>
  <si>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학년 수학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</si>
  <si>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Arial"/>
        <family val="0"/>
        <charset val="1"/>
      </rPr>
      <t xml:space="preserve">ELA</t>
    </r>
  </si>
  <si>
    <t xml:space="preserve">World History -Voice &amp; Persp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</si>
  <si>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학년 중국어</t>
    </r>
  </si>
  <si>
    <t xml:space="preserve">악기</t>
  </si>
  <si>
    <t xml:space="preserve">클라리넷</t>
  </si>
  <si>
    <t xml:space="preserve">예 (악기비)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</si>
  <si>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학년 중국어</t>
    </r>
  </si>
  <si>
    <t xml:space="preserve">플릇</t>
  </si>
  <si>
    <t xml:space="preserve">방과후_ Novel Studies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</si>
  <si>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학년 수학</t>
    </r>
  </si>
  <si>
    <t xml:space="preserve">첼로</t>
  </si>
  <si>
    <t xml:space="preserve">HMH Into Literature SB G7</t>
  </si>
  <si>
    <t xml:space="preserve">HMH Into Literature SB G6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</si>
  <si>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학년 중국어</t>
    </r>
  </si>
  <si>
    <t xml:space="preserve">HMH World History</t>
  </si>
  <si>
    <t xml:space="preserve">맨투맨단품</t>
  </si>
  <si>
    <t xml:space="preserve">Inspire Science G6 SB Unit 1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</si>
  <si>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학년 중국어</t>
    </r>
  </si>
  <si>
    <t xml:space="preserve">HMH Into Literature SB G8</t>
  </si>
  <si>
    <t xml:space="preserve">합계(상위 22개)</t>
  </si>
  <si>
    <t xml:space="preserve">사람이 한 번 봐야 하는 것</t>
  </si>
  <si>
    <t xml:space="preserve">① 받은 돈이 더 많습니다 (과수납 의심)</t>
  </si>
  <si>
    <t xml:space="preserve">형제 것을 한 번에 결제했거나, 앱에 아직 안 붙은 항목을 낸 것일 수 있습니다.</t>
  </si>
  <si>
    <t xml:space="preserve">차이</t>
  </si>
  <si>
    <t xml:space="preserve">② 동명이인 — 이 표에서는 합쳐져 있습니다</t>
  </si>
  <si>
    <t xml:space="preserve">올톡페이 이름만으로는 누구 건지 못 가릅니다. 앱에서 한 명씩 확인하고 나누세요.</t>
  </si>
  <si>
    <t xml:space="preserve">반(전부)</t>
  </si>
  <si>
    <t xml:space="preserve">앱 합계(합)</t>
  </si>
  <si>
    <t xml:space="preserve">받은 돈(합)</t>
  </si>
  <si>
    <t xml:space="preserve">남은 돈(합)</t>
  </si>
  <si>
    <t xml:space="preserve">③ 명부에서 못 찾은 이름으로 들어온 돈</t>
  </si>
  <si>
    <t xml:space="preserve">이름 칸에 사유가 섞였거나(전준벡·김현수김리안), 학생이 아닌 줄(류연진쌤·애니원감님)입니다.</t>
  </si>
  <si>
    <t xml:space="preserve">올톡페이 고객명(원문)</t>
  </si>
  <si>
    <t xml:space="preserve">결제완료 금액</t>
  </si>
  <si>
    <t xml:space="preserve">김현수김리안</t>
  </si>
  <si>
    <t xml:space="preserve">Maya</t>
  </si>
  <si>
    <t xml:space="preserve">AnnaKim</t>
  </si>
  <si>
    <t xml:space="preserve">Helena</t>
  </si>
  <si>
    <t xml:space="preserve">Demian</t>
  </si>
  <si>
    <t xml:space="preserve">민</t>
  </si>
  <si>
    <t xml:space="preserve">애니원감님</t>
  </si>
  <si>
    <t xml:space="preserve">MsLee</t>
  </si>
  <si>
    <t xml:space="preserve">④ 결제중단 후 다시 보낸 흔적이 없는 건</t>
  </si>
  <si>
    <t xml:space="preserve">그 아이는 청구서를 아예 못 받았고, 어느 미납 목록에도 안 뜹니다.</t>
  </si>
  <si>
    <t xml:space="preserve">고객명</t>
  </si>
  <si>
    <t xml:space="preserve">청구사유</t>
  </si>
  <si>
    <t xml:space="preserve">금액</t>
  </si>
  <si>
    <t xml:space="preserve">중단일</t>
  </si>
  <si>
    <t xml:space="preserve">홍선우(역사책1만원포함)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</si>
  <si>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학기 교재비</t>
    </r>
  </si>
  <si>
    <t xml:space="preserve">2026-08-31</t>
  </si>
  <si>
    <t xml:space="preserve">2026-09-03</t>
  </si>
  <si>
    <r>
      <rPr>
        <sz val="10"/>
        <rFont val="Arial"/>
        <family val="0"/>
        <charset val="1"/>
      </rPr>
      <t xml:space="preserve">GIA</t>
    </r>
    <r>
      <rPr>
        <sz val="10"/>
        <rFont val="Noto Sans CJK SC"/>
        <family val="2"/>
      </rPr>
      <t xml:space="preserve">교복</t>
    </r>
  </si>
  <si>
    <t xml:space="preserve">2026-08-27</t>
  </si>
  <si>
    <t xml:space="preserve">2026-08-25</t>
  </si>
  <si>
    <t xml:space="preserve">올톡페이 청구서관리목록 (받은 파일 그대로)</t>
  </si>
  <si>
    <t xml:space="preserve">청구핸드폰</t>
  </si>
  <si>
    <t xml:space="preserve">청구금액</t>
  </si>
  <si>
    <t xml:space="preserve">등록일자</t>
  </si>
  <si>
    <t xml:space="preserve">전송일자</t>
  </si>
  <si>
    <t xml:space="preserve">예약일자</t>
  </si>
  <si>
    <t xml:space="preserve">만료일자</t>
  </si>
  <si>
    <t xml:space="preserve">수납구분</t>
  </si>
  <si>
    <t xml:space="preserve">수납일자</t>
  </si>
  <si>
    <t xml:space="preserve">카드사</t>
  </si>
  <si>
    <t xml:space="preserve">승인번호</t>
  </si>
  <si>
    <t xml:space="preserve">010-2264-1478</t>
  </si>
  <si>
    <t xml:space="preserve">미납인보이스 정산</t>
  </si>
  <si>
    <t xml:space="preserve">2026-09-11</t>
  </si>
  <si>
    <t xml:space="preserve">발송완료</t>
  </si>
  <si>
    <t xml:space="preserve">2026-09-11 17:00:09</t>
  </si>
  <si>
    <t xml:space="preserve">-</t>
  </si>
  <si>
    <t xml:space="preserve">2026-09-18</t>
  </si>
  <si>
    <t xml:space="preserve">010-9282-2232</t>
  </si>
  <si>
    <t xml:space="preserve">2026-09-11 16:59:27</t>
  </si>
  <si>
    <t xml:space="preserve">010-9136-4946</t>
  </si>
  <si>
    <t xml:space="preserve">2026-09-11 16:58:26</t>
  </si>
  <si>
    <t xml:space="preserve">010-9120-5718</t>
  </si>
  <si>
    <t xml:space="preserve">2026-09-11 16:57:35</t>
  </si>
  <si>
    <t xml:space="preserve">010-5554-4865</t>
  </si>
  <si>
    <t xml:space="preserve">결제완료</t>
  </si>
  <si>
    <t xml:space="preserve">2026-09-11 16:56:20</t>
  </si>
  <si>
    <t xml:space="preserve">올톡페이</t>
  </si>
  <si>
    <t xml:space="preserve">2026-09-11 17:08:31</t>
  </si>
  <si>
    <t xml:space="preserve">현대</t>
  </si>
  <si>
    <t xml:space="preserve">00234696</t>
  </si>
  <si>
    <t xml:space="preserve">010-8754-2684</t>
  </si>
  <si>
    <t xml:space="preserve">2026-09-11 16:54:13</t>
  </si>
  <si>
    <t xml:space="preserve">010-5351-2123</t>
  </si>
  <si>
    <t xml:space="preserve">2026-09-11 16:53:31</t>
  </si>
  <si>
    <t xml:space="preserve">2026-09-11 17:12:54</t>
  </si>
  <si>
    <t xml:space="preserve">신한</t>
  </si>
  <si>
    <t xml:space="preserve">010-4785-9973</t>
  </si>
  <si>
    <t xml:space="preserve">2026-09-11 16:52:40</t>
  </si>
  <si>
    <t xml:space="preserve">010-3050-8681</t>
  </si>
  <si>
    <t xml:space="preserve">2026-09-11 16:51:58</t>
  </si>
  <si>
    <t xml:space="preserve">010-5321-0324</t>
  </si>
  <si>
    <t xml:space="preserve">2026-09-11 16:51:02</t>
  </si>
  <si>
    <t xml:space="preserve">2026-09-11 16:53:57</t>
  </si>
  <si>
    <t xml:space="preserve">00935743</t>
  </si>
  <si>
    <t xml:space="preserve">010-3176-4702</t>
  </si>
  <si>
    <t xml:space="preserve">2026-09-11 16:50:27</t>
  </si>
  <si>
    <t xml:space="preserve">010-9143-8857</t>
  </si>
  <si>
    <t xml:space="preserve">2026-09-11 16:49:18</t>
  </si>
  <si>
    <t xml:space="preserve">010-8875-4490</t>
  </si>
  <si>
    <t xml:space="preserve">2026-09-11 16:47:54</t>
  </si>
  <si>
    <t xml:space="preserve">2026-09-11 16:46:50</t>
  </si>
  <si>
    <t xml:space="preserve">2026-09-11 17:02:31</t>
  </si>
  <si>
    <t xml:space="preserve">010-6889-2937</t>
  </si>
  <si>
    <t xml:space="preserve">2026-09-11 16:44:44</t>
  </si>
  <si>
    <t xml:space="preserve">2026-09-11 18:47:08</t>
  </si>
  <si>
    <t xml:space="preserve">00131884</t>
  </si>
  <si>
    <t xml:space="preserve">010-7121-9559</t>
  </si>
  <si>
    <t xml:space="preserve">2026-09-11 16:33:30</t>
  </si>
  <si>
    <t xml:space="preserve">2026-09-11 20:51:56</t>
  </si>
  <si>
    <t xml:space="preserve">삼성</t>
  </si>
  <si>
    <t xml:space="preserve">010-2186-6134</t>
  </si>
  <si>
    <t xml:space="preserve">2026-09-11 16:33:03</t>
  </si>
  <si>
    <t xml:space="preserve">010-9098-9949</t>
  </si>
  <si>
    <t xml:space="preserve">2026-09-11 16:32:08</t>
  </si>
  <si>
    <t xml:space="preserve">010-7678-2718</t>
  </si>
  <si>
    <t xml:space="preserve">2026-09-11 16:31:40</t>
  </si>
  <si>
    <t xml:space="preserve">010-4181-3216</t>
  </si>
  <si>
    <t xml:space="preserve">2026-09-11 16:30:54</t>
  </si>
  <si>
    <t xml:space="preserve">010-8947-2001</t>
  </si>
  <si>
    <t xml:space="preserve">2026-09-11 16:30:20</t>
  </si>
  <si>
    <t xml:space="preserve">010-5485-3270</t>
  </si>
  <si>
    <t xml:space="preserve">2026-09-11 16:29:46</t>
  </si>
  <si>
    <t xml:space="preserve">2026-09-11 16:28:56</t>
  </si>
  <si>
    <t xml:space="preserve">2026-09-11 16:30:33</t>
  </si>
  <si>
    <t xml:space="preserve">010-2748-9949</t>
  </si>
  <si>
    <t xml:space="preserve">2026-09-11 16:28:25</t>
  </si>
  <si>
    <t xml:space="preserve">2026-09-11 19:58:39</t>
  </si>
  <si>
    <t xml:space="preserve">하나(외환)</t>
  </si>
  <si>
    <t xml:space="preserve">08424605</t>
  </si>
  <si>
    <t xml:space="preserve">010-8582-7165</t>
  </si>
  <si>
    <t xml:space="preserve">2026-09-11 16:27:51</t>
  </si>
  <si>
    <t xml:space="preserve">Maria</t>
  </si>
  <si>
    <t xml:space="preserve">010-5302-2929</t>
  </si>
  <si>
    <t xml:space="preserve">2026-09-11 16:27:10</t>
  </si>
  <si>
    <t xml:space="preserve">010-4655-2574</t>
  </si>
  <si>
    <t xml:space="preserve">2026-09-11 16:26:28</t>
  </si>
  <si>
    <t xml:space="preserve">2026-09-11 16:54:12</t>
  </si>
  <si>
    <t xml:space="preserve">비씨</t>
  </si>
  <si>
    <t xml:space="preserve">010-4256-8836</t>
  </si>
  <si>
    <t xml:space="preserve">2026-09-11 16:25:39</t>
  </si>
  <si>
    <t xml:space="preserve">2026-09-11 18:25:04</t>
  </si>
  <si>
    <t xml:space="preserve">010-8908-4893</t>
  </si>
  <si>
    <t xml:space="preserve">2026-09-11 16:25:04</t>
  </si>
  <si>
    <t xml:space="preserve">010-3575-2841</t>
  </si>
  <si>
    <t xml:space="preserve">2026-09-11 16:24:15</t>
  </si>
  <si>
    <t xml:space="preserve">2026-09-11 16:31:34</t>
  </si>
  <si>
    <t xml:space="preserve">롯데</t>
  </si>
  <si>
    <t xml:space="preserve">010-3151-2767</t>
  </si>
  <si>
    <t xml:space="preserve">2026-09-11 16:23:39</t>
  </si>
  <si>
    <t xml:space="preserve">010-8786-0409</t>
  </si>
  <si>
    <t xml:space="preserve">2026-09-11 16:22:54</t>
  </si>
  <si>
    <t xml:space="preserve">2026-09-11 16:25:21</t>
  </si>
  <si>
    <t xml:space="preserve">2026-09-11 16:22:19</t>
  </si>
  <si>
    <t xml:space="preserve">010-2811-0707</t>
  </si>
  <si>
    <t xml:space="preserve">2026-09-11 16:21:39</t>
  </si>
  <si>
    <t xml:space="preserve">010-2900-6454</t>
  </si>
  <si>
    <t xml:space="preserve">2026-09-11 16:20:18</t>
  </si>
  <si>
    <t xml:space="preserve">010-7239-8383</t>
  </si>
  <si>
    <t xml:space="preserve">2026-09-11 16:18:17</t>
  </si>
  <si>
    <t xml:space="preserve">010-9125-7874</t>
  </si>
  <si>
    <t xml:space="preserve">2026-09-11 16:12:11</t>
  </si>
  <si>
    <t xml:space="preserve">2026-09-11 16:12:56</t>
  </si>
  <si>
    <t xml:space="preserve">010-4114-3788</t>
  </si>
  <si>
    <t xml:space="preserve">2026-09-11 16:11:37</t>
  </si>
  <si>
    <t xml:space="preserve">010-6258-8445</t>
  </si>
  <si>
    <t xml:space="preserve">2026-09-10</t>
  </si>
  <si>
    <t xml:space="preserve">2026-09-10 08:39:47</t>
  </si>
  <si>
    <t xml:space="preserve">2026-09-10 08:41:56</t>
  </si>
  <si>
    <t xml:space="preserve">01100710</t>
  </si>
  <si>
    <t xml:space="preserve">010-2835-1245</t>
  </si>
  <si>
    <t xml:space="preserve">2026-09-07</t>
  </si>
  <si>
    <t xml:space="preserve">2026-09-07 08:45:11</t>
  </si>
  <si>
    <t xml:space="preserve">2026-09-08</t>
  </si>
  <si>
    <t xml:space="preserve">2026-09-07 08:46:27</t>
  </si>
  <si>
    <t xml:space="preserve">010-7746-7060</t>
  </si>
  <si>
    <t xml:space="preserve">2026-09-04</t>
  </si>
  <si>
    <t xml:space="preserve">2026-09-04 14:36:04</t>
  </si>
  <si>
    <t xml:space="preserve">2026-09-04 14:46:34</t>
  </si>
  <si>
    <t xml:space="preserve">00951406</t>
  </si>
  <si>
    <t xml:space="preserve">010-8942-2580</t>
  </si>
  <si>
    <t xml:space="preserve">2026-09-03 11:16:02</t>
  </si>
  <si>
    <t xml:space="preserve">2026-09-04 07:50:52</t>
  </si>
  <si>
    <t xml:space="preserve">2026-09-03 11:13:28</t>
  </si>
  <si>
    <t xml:space="preserve">2026-09-02</t>
  </si>
  <si>
    <t xml:space="preserve">2026-09-02 14:17:28</t>
  </si>
  <si>
    <t xml:space="preserve">010-8341-0675</t>
  </si>
  <si>
    <t xml:space="preserve">2026-09-02 13:21:20</t>
  </si>
  <si>
    <t xml:space="preserve">2026-09-02 13:48:19</t>
  </si>
  <si>
    <t xml:space="preserve">00484774</t>
  </si>
  <si>
    <t xml:space="preserve">악기(바이올린)</t>
  </si>
  <si>
    <t xml:space="preserve">2026-09-02 08:43:46</t>
  </si>
  <si>
    <t xml:space="preserve">2026-09-02 08:45:33</t>
  </si>
  <si>
    <t xml:space="preserve">02200710</t>
  </si>
  <si>
    <t xml:space="preserve">010-8877-5932</t>
  </si>
  <si>
    <t xml:space="preserve">2026-09-01</t>
  </si>
  <si>
    <t xml:space="preserve">2026-09-01 15:39:29</t>
  </si>
  <si>
    <t xml:space="preserve">2026-09-01 15:43:18</t>
  </si>
  <si>
    <t xml:space="preserve">2026-09-01 15:38:52</t>
  </si>
  <si>
    <t xml:space="preserve">010-3512-1353</t>
  </si>
  <si>
    <t xml:space="preserve">2026-09-01 13:21:01</t>
  </si>
  <si>
    <t xml:space="preserve">2026-09-01 13:38:04</t>
  </si>
  <si>
    <t xml:space="preserve">강하라/치과진료비12,900원포함</t>
  </si>
  <si>
    <t xml:space="preserve">2026-09-01 11:28:47</t>
  </si>
  <si>
    <t xml:space="preserve">조장훈(13,000잔돈차감)</t>
  </si>
  <si>
    <t xml:space="preserve">010-3251-0300</t>
  </si>
  <si>
    <t xml:space="preserve">2026-09-01 09:30:12</t>
  </si>
  <si>
    <t xml:space="preserve">2026-09-01 09:31:36</t>
  </si>
  <si>
    <t xml:space="preserve">010-5025-1101</t>
  </si>
  <si>
    <t xml:space="preserve">2026-09-01 09:13:39</t>
  </si>
  <si>
    <t xml:space="preserve">2026-09-01 09:16:30</t>
  </si>
  <si>
    <t xml:space="preserve">00421703</t>
  </si>
  <si>
    <t xml:space="preserve">010-9232-1492</t>
  </si>
  <si>
    <t xml:space="preserve">2026-09-01 09:09:29</t>
  </si>
  <si>
    <t xml:space="preserve">2026-09-01 10:23:00</t>
  </si>
  <si>
    <t xml:space="preserve">00050092</t>
  </si>
  <si>
    <t xml:space="preserve">조하윤(역사교재비1만원포함)</t>
  </si>
  <si>
    <t xml:space="preserve">010-3001-4759</t>
  </si>
  <si>
    <t xml:space="preserve">2026-09-01 09:07:37</t>
  </si>
  <si>
    <t xml:space="preserve">010-5253-8530</t>
  </si>
  <si>
    <t xml:space="preserve">2026-08-31 13:21:37</t>
  </si>
  <si>
    <t xml:space="preserve">2026-08-31 13:10:22</t>
  </si>
  <si>
    <t xml:space="preserve">2026-08-31 16:56:03</t>
  </si>
  <si>
    <t xml:space="preserve">국민</t>
  </si>
  <si>
    <t xml:space="preserve">김재이(Ms.Aimie)</t>
  </si>
  <si>
    <t xml:space="preserve">010-9048-6336</t>
  </si>
  <si>
    <t xml:space="preserve">2026-08-31 13:09:41</t>
  </si>
  <si>
    <t xml:space="preserve">2026-08-31 14:59:28</t>
  </si>
  <si>
    <t xml:space="preserve">010-4604-8717</t>
  </si>
  <si>
    <t xml:space="preserve">2026-08-31 13:08:15</t>
  </si>
  <si>
    <t xml:space="preserve">2026-09-01 01:28:04</t>
  </si>
  <si>
    <t xml:space="preserve">김리안(2차주문)</t>
  </si>
  <si>
    <t xml:space="preserve">010-8760-9264</t>
  </si>
  <si>
    <t xml:space="preserve">2026-08-31 13:07:35</t>
  </si>
  <si>
    <t xml:space="preserve">2026-08-31 13:24:58</t>
  </si>
  <si>
    <t xml:space="preserve">010-5473-5421</t>
  </si>
  <si>
    <t xml:space="preserve">2026-08-31 13:06:24</t>
  </si>
  <si>
    <t xml:space="preserve">010-7389-0228</t>
  </si>
  <si>
    <t xml:space="preserve">2026-08-31 13:05:40</t>
  </si>
  <si>
    <t xml:space="preserve">010-4005-2413</t>
  </si>
  <si>
    <t xml:space="preserve">2026-08-31 13:04:16</t>
  </si>
  <si>
    <t xml:space="preserve">2026-08-31 13:05:42</t>
  </si>
  <si>
    <t xml:space="preserve">김준영(2차주문)</t>
  </si>
  <si>
    <t xml:space="preserve">2026-08-31 13:03:17</t>
  </si>
  <si>
    <t xml:space="preserve">010-2522-6134</t>
  </si>
  <si>
    <t xml:space="preserve">2026-08-31 13:01:30</t>
  </si>
  <si>
    <t xml:space="preserve">2026-08-31 13:00:57</t>
  </si>
  <si>
    <t xml:space="preserve">2026-08-31 17:52:18</t>
  </si>
  <si>
    <t xml:space="preserve">010-3395-6988</t>
  </si>
  <si>
    <t xml:space="preserve">2026-08-31 12:56:22</t>
  </si>
  <si>
    <t xml:space="preserve">2026-08-31 13:01:34</t>
  </si>
  <si>
    <t xml:space="preserve">00491741</t>
  </si>
  <si>
    <t xml:space="preserve">010-3549-1402</t>
  </si>
  <si>
    <t xml:space="preserve">2026-08-31 12:55:45</t>
  </si>
  <si>
    <t xml:space="preserve">010-9142-9438</t>
  </si>
  <si>
    <t xml:space="preserve">2026-08-31 12:52:53</t>
  </si>
  <si>
    <t xml:space="preserve">2026-09-03 23:13:28</t>
  </si>
  <si>
    <t xml:space="preserve">00882250</t>
  </si>
  <si>
    <t xml:space="preserve">2026-08-31 12:51:52</t>
  </si>
  <si>
    <t xml:space="preserve">2026-08-31 12:51:00</t>
  </si>
  <si>
    <t xml:space="preserve">2026-08-31 12:51:43</t>
  </si>
  <si>
    <t xml:space="preserve">2026-08-31 12:50:03</t>
  </si>
  <si>
    <t xml:space="preserve">2026-08-31 12:49:24</t>
  </si>
  <si>
    <t xml:space="preserve">010-7722-2879</t>
  </si>
  <si>
    <t xml:space="preserve">2026-08-31 12:48:44</t>
  </si>
  <si>
    <t xml:space="preserve">2026-08-31 12:48:10</t>
  </si>
  <si>
    <t xml:space="preserve">2026-08-31 12:50:28</t>
  </si>
  <si>
    <t xml:space="preserve">010-4254-3565</t>
  </si>
  <si>
    <t xml:space="preserve">2026-08-31 12:47:22</t>
  </si>
  <si>
    <t xml:space="preserve">010-6347-0288</t>
  </si>
  <si>
    <t xml:space="preserve">2026-08-31 12:46:46</t>
  </si>
  <si>
    <t xml:space="preserve">2026-09-03 13:16:10</t>
  </si>
  <si>
    <t xml:space="preserve">00881014</t>
  </si>
  <si>
    <t xml:space="preserve">2026-08-31 12:45:12</t>
  </si>
  <si>
    <t xml:space="preserve">010-5100-7847</t>
  </si>
  <si>
    <t xml:space="preserve">2026-08-31 12:44:36</t>
  </si>
  <si>
    <t xml:space="preserve">2026-08-31 12:52:40</t>
  </si>
  <si>
    <t xml:space="preserve">00158909</t>
  </si>
  <si>
    <t xml:space="preserve">2026-08-31 12:43:47</t>
  </si>
  <si>
    <t xml:space="preserve">010-4754-6919</t>
  </si>
  <si>
    <t xml:space="preserve">2026-08-31 12:43:13</t>
  </si>
  <si>
    <t xml:space="preserve">홍선우/역사책1만원포함</t>
  </si>
  <si>
    <t xml:space="preserve">010-6804-1165</t>
  </si>
  <si>
    <t xml:space="preserve">2026-08-31 12:42:29</t>
  </si>
  <si>
    <t xml:space="preserve">2026-08-31 12:41:05</t>
  </si>
  <si>
    <t xml:space="preserve">010-3165-8055</t>
  </si>
  <si>
    <t xml:space="preserve">2026-08-31 12:39:53</t>
  </si>
  <si>
    <t xml:space="preserve">2026-09-01 13:16:20</t>
  </si>
  <si>
    <t xml:space="preserve">00650649</t>
  </si>
  <si>
    <t xml:space="preserve">010-5047-7094</t>
  </si>
  <si>
    <t xml:space="preserve">2026-08-31 12:39:08</t>
  </si>
  <si>
    <t xml:space="preserve">2026-08-31 12:38:30</t>
  </si>
  <si>
    <t xml:space="preserve">010-8554-3130</t>
  </si>
  <si>
    <t xml:space="preserve">2026-08-31 12:37:41</t>
  </si>
  <si>
    <t xml:space="preserve">2026-08-31 12:36:56</t>
  </si>
  <si>
    <t xml:space="preserve">2026-08-31 12:34:32</t>
  </si>
  <si>
    <t xml:space="preserve">2026-08-31 12:33:41</t>
  </si>
  <si>
    <t xml:space="preserve">010-3239-9213</t>
  </si>
  <si>
    <t xml:space="preserve">2026-08-31 12:32:14</t>
  </si>
  <si>
    <t xml:space="preserve">2026-09-01 13:14:27</t>
  </si>
  <si>
    <t xml:space="preserve">00487121</t>
  </si>
  <si>
    <t xml:space="preserve">010-9389-6648</t>
  </si>
  <si>
    <t xml:space="preserve">2026-08-31 12:31:21</t>
  </si>
  <si>
    <t xml:space="preserve">2026-08-31 12:33:28</t>
  </si>
  <si>
    <t xml:space="preserve">농협</t>
  </si>
  <si>
    <t xml:space="preserve">010-2718-9975</t>
  </si>
  <si>
    <t xml:space="preserve">2026-08-31 12:30:40</t>
  </si>
  <si>
    <t xml:space="preserve">2026-08-31 12:29:55</t>
  </si>
  <si>
    <t xml:space="preserve">010-9406-2143</t>
  </si>
  <si>
    <t xml:space="preserve">2026-08-31 12:28:05</t>
  </si>
  <si>
    <t xml:space="preserve">2026-08-31 12:57:03</t>
  </si>
  <si>
    <t xml:space="preserve">2026-08-31 12:22:24</t>
  </si>
  <si>
    <t xml:space="preserve">2026-08-31 12:21:45</t>
  </si>
  <si>
    <t xml:space="preserve">2026-08-31 12:20:37</t>
  </si>
  <si>
    <t xml:space="preserve">010-6602-2947</t>
  </si>
  <si>
    <t xml:space="preserve">2026-08-31 12:19:19</t>
  </si>
  <si>
    <t xml:space="preserve">2026-08-31 15:03:39</t>
  </si>
  <si>
    <t xml:space="preserve">2026-08-31 12:17:54</t>
  </si>
  <si>
    <t xml:space="preserve">010-3819-2137</t>
  </si>
  <si>
    <t xml:space="preserve">2026-08-31 12:17:04</t>
  </si>
  <si>
    <t xml:space="preserve">010-4569-0657</t>
  </si>
  <si>
    <t xml:space="preserve">2026-08-31 12:12:36</t>
  </si>
  <si>
    <t xml:space="preserve">2026-08-31 12:37:37</t>
  </si>
  <si>
    <t xml:space="preserve">2026-08-31 12:12:02</t>
  </si>
  <si>
    <t xml:space="preserve">2026-08-31 12:10:33</t>
  </si>
  <si>
    <t xml:space="preserve">010-8736-8363</t>
  </si>
  <si>
    <t xml:space="preserve">2026-08-31 12:09:43</t>
  </si>
  <si>
    <t xml:space="preserve">2026-08-31 12:09:04</t>
  </si>
  <si>
    <t xml:space="preserve">2026-08-31 12:08:21</t>
  </si>
  <si>
    <t xml:space="preserve">2026-09-03 23:13:06</t>
  </si>
  <si>
    <t xml:space="preserve">00228942</t>
  </si>
  <si>
    <t xml:space="preserve">010-6645-8648</t>
  </si>
  <si>
    <t xml:space="preserve">2026-08-31 12:07:02</t>
  </si>
  <si>
    <t xml:space="preserve">010-4806-4862</t>
  </si>
  <si>
    <t xml:space="preserve">2026-08-31 12:05:24</t>
  </si>
  <si>
    <t xml:space="preserve">2026-08-31 12:04:37</t>
  </si>
  <si>
    <t xml:space="preserve">2026-08-31 12:03:53</t>
  </si>
  <si>
    <t xml:space="preserve">2026-09-01 14:19:54</t>
  </si>
  <si>
    <t xml:space="preserve">010-5760-1866</t>
  </si>
  <si>
    <t xml:space="preserve">2026-08-31 12:00:13</t>
  </si>
  <si>
    <t xml:space="preserve">010-9087-8430</t>
  </si>
  <si>
    <t xml:space="preserve">2026-08-31 11:59:40</t>
  </si>
  <si>
    <t xml:space="preserve">010-8686-8118</t>
  </si>
  <si>
    <t xml:space="preserve">2026-08-31 11:59:06</t>
  </si>
  <si>
    <t xml:space="preserve">2026-08-31 12:11:56</t>
  </si>
  <si>
    <t xml:space="preserve">2026-08-31 11:58:05</t>
  </si>
  <si>
    <t xml:space="preserve">010-5703-2692</t>
  </si>
  <si>
    <t xml:space="preserve">2026-08-31 11:57:07</t>
  </si>
  <si>
    <t xml:space="preserve">2026-08-31 12:09:23</t>
  </si>
  <si>
    <t xml:space="preserve">00420574</t>
  </si>
  <si>
    <t xml:space="preserve">010-9901-7999</t>
  </si>
  <si>
    <t xml:space="preserve">2026-08-31 11:56:25</t>
  </si>
  <si>
    <t xml:space="preserve">2026-08-31 11:55:36</t>
  </si>
  <si>
    <t xml:space="preserve">2026-09-01 13:15:44</t>
  </si>
  <si>
    <t xml:space="preserve">00835699</t>
  </si>
  <si>
    <t xml:space="preserve">2026-08-31 11:53:15</t>
  </si>
  <si>
    <t xml:space="preserve">2026-09-01 09:38:44</t>
  </si>
  <si>
    <t xml:space="preserve">010-2723-2046</t>
  </si>
  <si>
    <t xml:space="preserve">2026-08-31 11:52:18</t>
  </si>
  <si>
    <t xml:space="preserve">2026-09-01 21:29:16</t>
  </si>
  <si>
    <t xml:space="preserve">010-5576-0201</t>
  </si>
  <si>
    <t xml:space="preserve">2026-08-31 11:51:22</t>
  </si>
  <si>
    <t xml:space="preserve">2026-09-01 10:02:20</t>
  </si>
  <si>
    <t xml:space="preserve">2026-08-31 11:48:37</t>
  </si>
  <si>
    <t xml:space="preserve">010-7176-5490</t>
  </si>
  <si>
    <t xml:space="preserve">2026-08-31 11:35:05</t>
  </si>
  <si>
    <t xml:space="preserve">2026-08-31 11:34:24</t>
  </si>
  <si>
    <t xml:space="preserve">2026-08-31 11:33:04</t>
  </si>
  <si>
    <t xml:space="preserve">2026-08-31 11:52:14</t>
  </si>
  <si>
    <t xml:space="preserve">010-3469-1652</t>
  </si>
  <si>
    <t xml:space="preserve">2026-08-31 11:32:29</t>
  </si>
  <si>
    <t xml:space="preserve">2026-08-31 11:36:01</t>
  </si>
  <si>
    <t xml:space="preserve">2026-08-31 11:31:44</t>
  </si>
  <si>
    <t xml:space="preserve">010-5826-8910</t>
  </si>
  <si>
    <t xml:space="preserve">2026-08-31 11:30:25</t>
  </si>
  <si>
    <t xml:space="preserve">010-4343-4491</t>
  </si>
  <si>
    <t xml:space="preserve">2026-08-31 11:30:11</t>
  </si>
  <si>
    <t xml:space="preserve">2026-08-31 13:32:32</t>
  </si>
  <si>
    <t xml:space="preserve">Jason</t>
  </si>
  <si>
    <t xml:space="preserve">010-3943-5480</t>
  </si>
  <si>
    <t xml:space="preserve">2026-08-31 11:29:28</t>
  </si>
  <si>
    <t xml:space="preserve">010-4045-2336</t>
  </si>
  <si>
    <t xml:space="preserve">2026-08-31 11:28:38</t>
  </si>
  <si>
    <t xml:space="preserve">2026-08-31 12:09:15</t>
  </si>
  <si>
    <t xml:space="preserve">2026-08-31 11:27:47</t>
  </si>
  <si>
    <t xml:space="preserve">2026-08-31 11:26:56</t>
  </si>
  <si>
    <t xml:space="preserve">2026-08-31 13:37:54</t>
  </si>
  <si>
    <t xml:space="preserve">010-3244-8902</t>
  </si>
  <si>
    <t xml:space="preserve">2026-08-31 11:26:37</t>
  </si>
  <si>
    <t xml:space="preserve">2026-08-31 11:25:41</t>
  </si>
  <si>
    <t xml:space="preserve">2026-08-31 11:40:42</t>
  </si>
  <si>
    <t xml:space="preserve">010-3830-6528</t>
  </si>
  <si>
    <t xml:space="preserve">2026-08-31 11:25:22</t>
  </si>
  <si>
    <t xml:space="preserve">2026-08-31 13:35:18</t>
  </si>
  <si>
    <t xml:space="preserve">00444716</t>
  </si>
  <si>
    <t xml:space="preserve">2026-08-31 11:25:09</t>
  </si>
  <si>
    <t xml:space="preserve">010-8802-0819</t>
  </si>
  <si>
    <t xml:space="preserve">2026-08-31 11:24:38</t>
  </si>
  <si>
    <t xml:space="preserve">2026-08-31 16:32:40</t>
  </si>
  <si>
    <t xml:space="preserve">01100410</t>
  </si>
  <si>
    <t xml:space="preserve">2026-08-31 11:24:30</t>
  </si>
  <si>
    <t xml:space="preserve">2026-08-31 12:12:37</t>
  </si>
  <si>
    <t xml:space="preserve">010-9787-8036</t>
  </si>
  <si>
    <t xml:space="preserve">2026-08-31 11:23:32</t>
  </si>
  <si>
    <t xml:space="preserve">2026-08-31 11:24:24</t>
  </si>
  <si>
    <t xml:space="preserve">010-8843-5196</t>
  </si>
  <si>
    <t xml:space="preserve">2026-08-31 11:23:19</t>
  </si>
  <si>
    <t xml:space="preserve">010-2050-9828</t>
  </si>
  <si>
    <t xml:space="preserve">2026-08-31 11:22:38</t>
  </si>
  <si>
    <t xml:space="preserve">2026-08-31 11:33:51</t>
  </si>
  <si>
    <t xml:space="preserve">2026-08-31 11:21:16</t>
  </si>
  <si>
    <t xml:space="preserve">2026-08-31 11:20:14</t>
  </si>
  <si>
    <t xml:space="preserve">2026-09-02 11:44:51</t>
  </si>
  <si>
    <t xml:space="preserve">010-9253-3303</t>
  </si>
  <si>
    <t xml:space="preserve">2026-08-31 11:19:40</t>
  </si>
  <si>
    <t xml:space="preserve">010-8617-9529</t>
  </si>
  <si>
    <t xml:space="preserve">2026-08-31 11:18:59</t>
  </si>
  <si>
    <t xml:space="preserve">010-5813-0000</t>
  </si>
  <si>
    <t xml:space="preserve">2026-08-31 11:18:24</t>
  </si>
  <si>
    <t xml:space="preserve">2026-08-31 11:22:06</t>
  </si>
  <si>
    <t xml:space="preserve">2026-08-31 11:17:36</t>
  </si>
  <si>
    <t xml:space="preserve">2026-08-31 13:05:12</t>
  </si>
  <si>
    <t xml:space="preserve">010-6380-8798</t>
  </si>
  <si>
    <t xml:space="preserve">2026-08-31 11:16:59</t>
  </si>
  <si>
    <t xml:space="preserve">010-5148-3885</t>
  </si>
  <si>
    <t xml:space="preserve">2026-08-31 11:16:17</t>
  </si>
  <si>
    <t xml:space="preserve">2026-09-01 12:48:40</t>
  </si>
  <si>
    <t xml:space="preserve">2026-08-31 11:15:31</t>
  </si>
  <si>
    <t xml:space="preserve">010-4866-8100</t>
  </si>
  <si>
    <t xml:space="preserve">2026-08-31 11:09:33</t>
  </si>
  <si>
    <t xml:space="preserve">010-3442-0078</t>
  </si>
  <si>
    <t xml:space="preserve">2026-08-31 11:08:43</t>
  </si>
  <si>
    <t xml:space="preserve">2026-08-31 11:58:50</t>
  </si>
  <si>
    <t xml:space="preserve">00478906</t>
  </si>
  <si>
    <t xml:space="preserve">010-8972-2394</t>
  </si>
  <si>
    <t xml:space="preserve">2026-08-31 11:08:06</t>
  </si>
  <si>
    <t xml:space="preserve">2026-09-02 12:03:08</t>
  </si>
  <si>
    <t xml:space="preserve">010-4739-6231</t>
  </si>
  <si>
    <t xml:space="preserve">2026-08-31 11:07:23</t>
  </si>
  <si>
    <t xml:space="preserve">2026-09-02 12:07:34</t>
  </si>
  <si>
    <t xml:space="preserve">010-4592-5945</t>
  </si>
  <si>
    <t xml:space="preserve">2026-08-31 11:06:17</t>
  </si>
  <si>
    <t xml:space="preserve">2026-08-31 11:05:38</t>
  </si>
  <si>
    <t xml:space="preserve">2026-08-31 13:30:27</t>
  </si>
  <si>
    <t xml:space="preserve">2026-08-31 11:04:52</t>
  </si>
  <si>
    <t xml:space="preserve">2026-08-31 11:04:13</t>
  </si>
  <si>
    <t xml:space="preserve">2026-08-31 11:04:51</t>
  </si>
  <si>
    <t xml:space="preserve">010-6222-6037</t>
  </si>
  <si>
    <t xml:space="preserve">2026-08-31 11:03:39</t>
  </si>
  <si>
    <t xml:space="preserve">2026-08-31 11:05:12</t>
  </si>
  <si>
    <t xml:space="preserve">00152413</t>
  </si>
  <si>
    <t xml:space="preserve">010-8654-7611</t>
  </si>
  <si>
    <t xml:space="preserve">2026-08-31 11:02:16</t>
  </si>
  <si>
    <t xml:space="preserve">2026-08-31 11:05:28</t>
  </si>
  <si>
    <t xml:space="preserve">2026-08-31 11:01:27</t>
  </si>
  <si>
    <t xml:space="preserve">2026-08-31 11:07:12</t>
  </si>
  <si>
    <t xml:space="preserve">00324026</t>
  </si>
  <si>
    <t xml:space="preserve">2026-08-31 11:00:47</t>
  </si>
  <si>
    <t xml:space="preserve">2026-08-31 11:01:59</t>
  </si>
  <si>
    <t xml:space="preserve">00944731</t>
  </si>
  <si>
    <t xml:space="preserve">2026-08-31 10:58:51</t>
  </si>
  <si>
    <t xml:space="preserve">2026-08-31 10:57:30</t>
  </si>
  <si>
    <t xml:space="preserve">2026-08-31 10:56:26</t>
  </si>
  <si>
    <t xml:space="preserve">2026-08-31 10:54:50</t>
  </si>
  <si>
    <t xml:space="preserve">2026-08-31 20:53:15</t>
  </si>
  <si>
    <t xml:space="preserve">2026-08-31 10:54:00</t>
  </si>
  <si>
    <t xml:space="preserve">010-8722-3060</t>
  </si>
  <si>
    <t xml:space="preserve">2026-08-31 10:50:23</t>
  </si>
  <si>
    <t xml:space="preserve">2026-08-31 11:43:05</t>
  </si>
  <si>
    <t xml:space="preserve">00142516</t>
  </si>
  <si>
    <t xml:space="preserve">010-6538-6529</t>
  </si>
  <si>
    <t xml:space="preserve">2026-08-31 10:49:21</t>
  </si>
  <si>
    <t xml:space="preserve">2026-09-01 09:53:00</t>
  </si>
  <si>
    <t xml:space="preserve">06953837</t>
  </si>
  <si>
    <t xml:space="preserve">2026-08-31 10:48:36</t>
  </si>
  <si>
    <t xml:space="preserve">2026-08-31 10:49:20</t>
  </si>
  <si>
    <t xml:space="preserve">07304402</t>
  </si>
  <si>
    <t xml:space="preserve">2026-08-31 10:47:52</t>
  </si>
  <si>
    <t xml:space="preserve">2026-08-31 10:49:56</t>
  </si>
  <si>
    <t xml:space="preserve">00993299</t>
  </si>
  <si>
    <t xml:space="preserve">2026-08-31 10:46:53</t>
  </si>
  <si>
    <t xml:space="preserve">2026-08-31 10:54:49</t>
  </si>
  <si>
    <t xml:space="preserve">2026-08-31 10:45:41</t>
  </si>
  <si>
    <t xml:space="preserve">2026-08-31 10:44:54</t>
  </si>
  <si>
    <t xml:space="preserve">2026-08-31 11:43:04</t>
  </si>
  <si>
    <t xml:space="preserve">010-5045-2915</t>
  </si>
  <si>
    <t xml:space="preserve">2026-08-31 10:44:17</t>
  </si>
  <si>
    <t xml:space="preserve">2026-08-31 17:55:36</t>
  </si>
  <si>
    <t xml:space="preserve">2026-08-31 10:43:35</t>
  </si>
  <si>
    <t xml:space="preserve">2026-08-31 10:42:52</t>
  </si>
  <si>
    <t xml:space="preserve">010-4726-9877</t>
  </si>
  <si>
    <t xml:space="preserve">2026-08-31 10:42:12</t>
  </si>
  <si>
    <t xml:space="preserve">2026-08-31 10:41:21</t>
  </si>
  <si>
    <t xml:space="preserve">2026-08-31 10:40:43</t>
  </si>
  <si>
    <t xml:space="preserve">2026-08-31 16:55:31</t>
  </si>
  <si>
    <t xml:space="preserve">010-3200-6207</t>
  </si>
  <si>
    <t xml:space="preserve">2026-08-31 10:39:57</t>
  </si>
  <si>
    <t xml:space="preserve">2026-08-31 10:37:46</t>
  </si>
  <si>
    <t xml:space="preserve">이준서Justinlee</t>
  </si>
  <si>
    <t xml:space="preserve">2026-08-27 16:50:13</t>
  </si>
  <si>
    <t xml:space="preserve">2026-08-28</t>
  </si>
  <si>
    <t xml:space="preserve">2026-08-27 16:55:38</t>
  </si>
  <si>
    <t xml:space="preserve">2026-08-27 16:49:15</t>
  </si>
  <si>
    <t xml:space="preserve">2026-08-27 16:50:45</t>
  </si>
  <si>
    <t xml:space="preserve">송우진,윤진</t>
  </si>
  <si>
    <t xml:space="preserve">2026-08-27 16:45:20</t>
  </si>
  <si>
    <t xml:space="preserve">2026-08-27 21:34:46</t>
  </si>
  <si>
    <t xml:space="preserve">00014006</t>
  </si>
  <si>
    <t xml:space="preserve">2026-08-27 15:18:18</t>
  </si>
  <si>
    <t xml:space="preserve">2026-08-28 13:17:19</t>
  </si>
  <si>
    <t xml:space="preserve">2026-08-27 15:11:25</t>
  </si>
  <si>
    <t xml:space="preserve">2026-08-27 14:41:13</t>
  </si>
  <si>
    <t xml:space="preserve">2026-08-28 14:56:58</t>
  </si>
  <si>
    <t xml:space="preserve">2026-08-27 14:39:53</t>
  </si>
  <si>
    <t xml:space="preserve">2026-08-27 14:41:04</t>
  </si>
  <si>
    <t xml:space="preserve">00634831</t>
  </si>
  <si>
    <t xml:space="preserve">2026-08-27 14:38:35</t>
  </si>
  <si>
    <t xml:space="preserve">2026-08-27 14:48:33</t>
  </si>
  <si>
    <t xml:space="preserve">00444323</t>
  </si>
  <si>
    <t xml:space="preserve">010-6417-6866</t>
  </si>
  <si>
    <t xml:space="preserve">2026-08-27 14:37:34</t>
  </si>
  <si>
    <t xml:space="preserve">2026-08-27 14:45:19</t>
  </si>
  <si>
    <t xml:space="preserve">010-9394-5421</t>
  </si>
  <si>
    <t xml:space="preserve">2026-08-27 14:35:21</t>
  </si>
  <si>
    <t xml:space="preserve">2026-08-27 14:14:15</t>
  </si>
  <si>
    <t xml:space="preserve">2026-08-27 14:22:28</t>
  </si>
  <si>
    <t xml:space="preserve">2026-08-27 13:55:06</t>
  </si>
  <si>
    <t xml:space="preserve">2026-08-27 14:09:01</t>
  </si>
  <si>
    <t xml:space="preserve">2026-08-27 13:53:14</t>
  </si>
  <si>
    <t xml:space="preserve">2026-08-27 13:56:14</t>
  </si>
  <si>
    <t xml:space="preserve">2026-08-27 13:50:51</t>
  </si>
  <si>
    <t xml:space="preserve">2026-08-27 13:58:35</t>
  </si>
  <si>
    <t xml:space="preserve">00651442</t>
  </si>
  <si>
    <t xml:space="preserve">심규민2세트(A,B)</t>
  </si>
  <si>
    <t xml:space="preserve">2026-08-27 13:46:07</t>
  </si>
  <si>
    <t xml:space="preserve">2026-08-28 10:03:59</t>
  </si>
  <si>
    <t xml:space="preserve">00212383</t>
  </si>
  <si>
    <t xml:space="preserve">황시원2세트</t>
  </si>
  <si>
    <t xml:space="preserve">2026-08-27 13:42:00</t>
  </si>
  <si>
    <t xml:space="preserve">2026-08-27 13:46:46</t>
  </si>
  <si>
    <t xml:space="preserve">남가인2세트</t>
  </si>
  <si>
    <t xml:space="preserve">2026-08-27 13:36:20</t>
  </si>
  <si>
    <t xml:space="preserve">최서아SarahChoi</t>
  </si>
  <si>
    <t xml:space="preserve">2026-08-27 13:29:23</t>
  </si>
  <si>
    <t xml:space="preserve">2026-08-27 13:23:36</t>
  </si>
  <si>
    <t xml:space="preserve">2026-08-27 13:20:11</t>
  </si>
  <si>
    <t xml:space="preserve">2026-08-27 13:21:13</t>
  </si>
  <si>
    <t xml:space="preserve">2026-08-27 13:19:11</t>
  </si>
  <si>
    <t xml:space="preserve">2026-08-27 13:27:22</t>
  </si>
  <si>
    <t xml:space="preserve">2026-08-27 13:17:11</t>
  </si>
  <si>
    <t xml:space="preserve">2026-08-29</t>
  </si>
  <si>
    <t xml:space="preserve">2026-08-28 15:06:31</t>
  </si>
  <si>
    <t xml:space="preserve">강하늘(차액납부)</t>
  </si>
  <si>
    <t xml:space="preserve">010-2582-7938</t>
  </si>
  <si>
    <t xml:space="preserve">2026-08-27 13:16:14</t>
  </si>
  <si>
    <t xml:space="preserve">2026-08-27 13:19:50</t>
  </si>
  <si>
    <t xml:space="preserve">00823946</t>
  </si>
  <si>
    <t xml:space="preserve">2026-08-27 13:14:51</t>
  </si>
  <si>
    <t xml:space="preserve">2026-08-27 13:18:21</t>
  </si>
  <si>
    <t xml:space="preserve">00590650</t>
  </si>
  <si>
    <t xml:space="preserve">2026-08-27 11:05:52</t>
  </si>
  <si>
    <t xml:space="preserve">2026-08-27 11:05:10</t>
  </si>
  <si>
    <t xml:space="preserve">010-9255-1940</t>
  </si>
  <si>
    <t xml:space="preserve">2026-08-27 11:04:28</t>
  </si>
  <si>
    <t xml:space="preserve">2026-08-27 12:09:18</t>
  </si>
  <si>
    <t xml:space="preserve">00270677</t>
  </si>
  <si>
    <t xml:space="preserve">2026-08-27 11:03:46</t>
  </si>
  <si>
    <t xml:space="preserve">2026-08-31 12:13:22</t>
  </si>
  <si>
    <t xml:space="preserve">2026-08-27 11:01:06</t>
  </si>
  <si>
    <t xml:space="preserve">010-4173-7364</t>
  </si>
  <si>
    <t xml:space="preserve">2026-08-27 10:55:03</t>
  </si>
  <si>
    <t xml:space="preserve">2026-08-27 10:53:28</t>
  </si>
  <si>
    <t xml:space="preserve">2026-08-27 11:38:17</t>
  </si>
  <si>
    <t xml:space="preserve">2026-08-27 10:49:43</t>
  </si>
  <si>
    <t xml:space="preserve">2026-08-27 10:47:33</t>
  </si>
  <si>
    <t xml:space="preserve">2026-08-27 11:03:13</t>
  </si>
  <si>
    <t xml:space="preserve">2026-08-27 10:46:56</t>
  </si>
  <si>
    <t xml:space="preserve">2026-08-27 10:45:59</t>
  </si>
  <si>
    <t xml:space="preserve">2026-08-27 13:26:21</t>
  </si>
  <si>
    <t xml:space="preserve">2026-08-27 10:45:14</t>
  </si>
  <si>
    <t xml:space="preserve">2026-08-27 11:58:07</t>
  </si>
  <si>
    <t xml:space="preserve">2026-08-27 10:44:09</t>
  </si>
  <si>
    <t xml:space="preserve">2026-08-26</t>
  </si>
  <si>
    <t xml:space="preserve">2026-08-26 16:52:19</t>
  </si>
  <si>
    <t xml:space="preserve">2026-08-26 17:17:34</t>
  </si>
  <si>
    <t xml:space="preserve">00051842</t>
  </si>
  <si>
    <t xml:space="preserve">2026-08-26 15:02:54</t>
  </si>
  <si>
    <t xml:space="preserve">2026-08-26 15:13:07</t>
  </si>
  <si>
    <t xml:space="preserve">2026-08-26 15:02:02</t>
  </si>
  <si>
    <t xml:space="preserve">2026-08-26 15:10:37</t>
  </si>
  <si>
    <t xml:space="preserve">2026-08-26 10:57:53</t>
  </si>
  <si>
    <t xml:space="preserve">2026-08-25 16:12:29</t>
  </si>
  <si>
    <t xml:space="preserve">2026-08-25 16:11:58</t>
  </si>
  <si>
    <t xml:space="preserve">2026-08-25 16:11:05</t>
  </si>
  <si>
    <t xml:space="preserve">2026-08-26 11:51:19</t>
  </si>
  <si>
    <t xml:space="preserve">2026-08-25 16:04:59</t>
  </si>
  <si>
    <t xml:space="preserve">2026-08-25 16:04:32</t>
  </si>
  <si>
    <t xml:space="preserve">2026-08-25 17:50:35</t>
  </si>
  <si>
    <t xml:space="preserve">2026-08-25 09:43:34</t>
  </si>
  <si>
    <t xml:space="preserve">심재이(우쿠렐레)</t>
  </si>
  <si>
    <t xml:space="preserve">악기비</t>
  </si>
  <si>
    <t xml:space="preserve">2026-08-24</t>
  </si>
  <si>
    <t xml:space="preserve">2026-08-24 17:04:48</t>
  </si>
  <si>
    <t xml:space="preserve">홍선우(클라리넷)</t>
  </si>
  <si>
    <t xml:space="preserve">2026-08-24 15:35:39</t>
  </si>
  <si>
    <t xml:space="preserve">010-925-333</t>
  </si>
  <si>
    <t xml:space="preserve">발송실패</t>
  </si>
  <si>
    <t xml:space="preserve">2026-08-24 15:34:36</t>
  </si>
  <si>
    <t xml:space="preserve">송우진(플릇)</t>
  </si>
  <si>
    <t xml:space="preserve">2026-08-24 15:33:56</t>
  </si>
  <si>
    <t xml:space="preserve">2026-08-24 15:39:17</t>
  </si>
  <si>
    <t xml:space="preserve">00341257</t>
  </si>
  <si>
    <t xml:space="preserve">송윤진(플릇)</t>
  </si>
  <si>
    <t xml:space="preserve">2026-08-24 15:33:15</t>
  </si>
  <si>
    <t xml:space="preserve">2026-08-24 15:38:55</t>
  </si>
  <si>
    <t xml:space="preserve">00858311</t>
  </si>
  <si>
    <t xml:space="preserve">2026-08-24 14:23:22</t>
  </si>
  <si>
    <t xml:space="preserve">2026-08-24 14:27:22</t>
  </si>
  <si>
    <t xml:space="preserve">00943341</t>
  </si>
  <si>
    <t xml:space="preserve">2026-08-24 14:22:50</t>
  </si>
  <si>
    <t xml:space="preserve">2026-08-24 14:26:54</t>
  </si>
  <si>
    <t xml:space="preserve">00985736</t>
  </si>
  <si>
    <t xml:space="preserve">2026-08-24 14:22:18</t>
  </si>
  <si>
    <t xml:space="preserve">2026-08-24 14:25:41</t>
  </si>
  <si>
    <t xml:space="preserve">악기비 (바이올린)</t>
  </si>
  <si>
    <t xml:space="preserve">2026-08-24 14:10:23</t>
  </si>
  <si>
    <t xml:space="preserve">2026-08-24 16:24:14</t>
  </si>
  <si>
    <t xml:space="preserve">010-5801-7777</t>
  </si>
  <si>
    <t xml:space="preserve">2026-08-24 12:01:33</t>
  </si>
  <si>
    <t xml:space="preserve">2026-08-24 12:30:50</t>
  </si>
  <si>
    <t xml:space="preserve">2026-08-24 10:56:18</t>
  </si>
  <si>
    <t xml:space="preserve">2026-08-24 11:05:56</t>
  </si>
  <si>
    <t xml:space="preserve">2026-08-24 10:55:43</t>
  </si>
  <si>
    <t xml:space="preserve">2026-08-24 21:33:32</t>
  </si>
  <si>
    <t xml:space="preserve">00413251</t>
  </si>
  <si>
    <t xml:space="preserve">2026-08-24 10:55:11</t>
  </si>
  <si>
    <t xml:space="preserve">2026-08-24 16:38:05</t>
  </si>
  <si>
    <t xml:space="preserve">2026-08-24 10:54:38</t>
  </si>
  <si>
    <t xml:space="preserve">2026-08-24 11:42:55</t>
  </si>
  <si>
    <t xml:space="preserve">2026-08-24 10:54:06</t>
  </si>
  <si>
    <t xml:space="preserve">2026-08-24 10:55:16</t>
  </si>
  <si>
    <t xml:space="preserve">00095569</t>
  </si>
  <si>
    <t xml:space="preserve">2026-08-24 10:53:20</t>
  </si>
  <si>
    <t xml:space="preserve">2026-08-26 09:30:10</t>
  </si>
  <si>
    <t xml:space="preserve">03529301</t>
  </si>
  <si>
    <t xml:space="preserve">2026-08-24 10:52:33</t>
  </si>
  <si>
    <t xml:space="preserve">2026-08-24 11:24:27</t>
  </si>
  <si>
    <t xml:space="preserve">2026-08-24 10:51:58</t>
  </si>
  <si>
    <t xml:space="preserve">2026-08-24 10:51:23</t>
  </si>
  <si>
    <t xml:space="preserve">2026-08-24 10:52:31</t>
  </si>
  <si>
    <t xml:space="preserve">2026-08-24 10:50:50</t>
  </si>
  <si>
    <t xml:space="preserve">2026-08-24 10:50:08</t>
  </si>
  <si>
    <t xml:space="preserve">2026-08-26 15:10:12</t>
  </si>
  <si>
    <t xml:space="preserve">2026-08-24 10:49:01</t>
  </si>
  <si>
    <t xml:space="preserve">2026-08-24 11:30:36</t>
  </si>
  <si>
    <t xml:space="preserve">2026-08-24 10:48:16</t>
  </si>
  <si>
    <t xml:space="preserve">2026-08-24 10:46:58</t>
  </si>
  <si>
    <t xml:space="preserve">2026-08-24 10:46:22</t>
  </si>
  <si>
    <t xml:space="preserve">김재이C2</t>
  </si>
  <si>
    <t xml:space="preserve">010-6816-3031</t>
  </si>
  <si>
    <t xml:space="preserve">2026-08-24 10:43:02</t>
  </si>
  <si>
    <t xml:space="preserve">2026-08-24 10:44:05</t>
  </si>
  <si>
    <t xml:space="preserve">00012614</t>
  </si>
  <si>
    <t xml:space="preserve">010-4901-3824</t>
  </si>
  <si>
    <t xml:space="preserve">2026-08-24 10:42:03</t>
  </si>
  <si>
    <t xml:space="preserve">2026-08-24 10:43:32</t>
  </si>
  <si>
    <t xml:space="preserve">010-8760-9246</t>
  </si>
  <si>
    <t xml:space="preserve">2026-08-24 10:41:24</t>
  </si>
  <si>
    <t xml:space="preserve">010-4600-7495</t>
  </si>
  <si>
    <t xml:space="preserve">2026-08-24 10:40:39</t>
  </si>
  <si>
    <t xml:space="preserve">2026-08-24 13:47:14</t>
  </si>
  <si>
    <t xml:space="preserve">00154339</t>
  </si>
  <si>
    <t xml:space="preserve">2026-08-24 10:40:02</t>
  </si>
  <si>
    <t xml:space="preserve">2026-08-24 10:41:26</t>
  </si>
  <si>
    <t xml:space="preserve">010-3955-1111</t>
  </si>
  <si>
    <t xml:space="preserve">2026-08-24 10:39:00</t>
  </si>
  <si>
    <t xml:space="preserve">2026-08-21</t>
  </si>
  <si>
    <t xml:space="preserve">2026-08-21 14:21:13</t>
  </si>
  <si>
    <t xml:space="preserve">2026-08-21 14:23:11</t>
  </si>
  <si>
    <t xml:space="preserve">2026-08-21 12:52:25</t>
  </si>
  <si>
    <t xml:space="preserve">2026-08-21 13:03:27</t>
  </si>
  <si>
    <t xml:space="preserve">010-5230-8530</t>
  </si>
  <si>
    <t xml:space="preserve">2026-08-21 12:51:50</t>
  </si>
  <si>
    <t xml:space="preserve">2026-08-21 12:51:19</t>
  </si>
  <si>
    <t xml:space="preserve">2026-08-21 14:22:38</t>
  </si>
  <si>
    <t xml:space="preserve">00449532</t>
  </si>
  <si>
    <t xml:space="preserve">2026-08-21 12:50:41</t>
  </si>
  <si>
    <t xml:space="preserve">2026-08-21 12:53:28</t>
  </si>
  <si>
    <t xml:space="preserve">00290135</t>
  </si>
  <si>
    <t xml:space="preserve">2026-08-21 12:49:57</t>
  </si>
  <si>
    <t xml:space="preserve">2026-08-21 12:50:53</t>
  </si>
  <si>
    <t xml:space="preserve">00260458</t>
  </si>
  <si>
    <t xml:space="preserve">2026-08-21 12:49:05</t>
  </si>
  <si>
    <t xml:space="preserve">2026-08-21 13:02:09</t>
  </si>
  <si>
    <t xml:space="preserve">2026-08-21 12:48:24</t>
  </si>
  <si>
    <t xml:space="preserve">2026-08-21 13:07:21</t>
  </si>
  <si>
    <t xml:space="preserve">00434577</t>
  </si>
  <si>
    <t xml:space="preserve">2026-08-21 12:47:29</t>
  </si>
  <si>
    <t xml:space="preserve">2026-08-21 19:34:53</t>
  </si>
  <si>
    <t xml:space="preserve">2026-08-21 12:39:20</t>
  </si>
  <si>
    <t xml:space="preserve">2026-08-21 13:35:38</t>
  </si>
  <si>
    <t xml:space="preserve">2026-08-20</t>
  </si>
  <si>
    <t xml:space="preserve">2026-08-20 17:06:00</t>
  </si>
  <si>
    <t xml:space="preserve">2026-08-24 09:52:42</t>
  </si>
  <si>
    <t xml:space="preserve">2026-08-20 17:05:29</t>
  </si>
  <si>
    <t xml:space="preserve">2026-08-20 17:07:59</t>
  </si>
  <si>
    <t xml:space="preserve">00771773</t>
  </si>
  <si>
    <t xml:space="preserve">2026-08-20 17:04:57</t>
  </si>
  <si>
    <t xml:space="preserve">2026-08-20 20:47:27</t>
  </si>
  <si>
    <t xml:space="preserve">2026-08-20 17:04:21</t>
  </si>
  <si>
    <t xml:space="preserve">010-9070-3717</t>
  </si>
  <si>
    <t xml:space="preserve">2026-08-20 17:03:49</t>
  </si>
  <si>
    <t xml:space="preserve">2026-08-20 17:24:18</t>
  </si>
  <si>
    <t xml:space="preserve">00725487</t>
  </si>
  <si>
    <t xml:space="preserve">2026-08-20 17:03:12</t>
  </si>
  <si>
    <t xml:space="preserve">2026-08-20 17:23:38</t>
  </si>
  <si>
    <t xml:space="preserve">00071033</t>
  </si>
  <si>
    <t xml:space="preserve">2026-08-20 17:02:27</t>
  </si>
  <si>
    <t xml:space="preserve">2026-08-20 18:44:15</t>
  </si>
  <si>
    <t xml:space="preserve">2026-08-20 17:01:49</t>
  </si>
  <si>
    <t xml:space="preserve">2026-09-01 12:47:23</t>
  </si>
  <si>
    <t xml:space="preserve">2026-08-20 17:01:09</t>
  </si>
  <si>
    <t xml:space="preserve">2026-08-20 17:00:01</t>
  </si>
  <si>
    <t xml:space="preserve">2026-08-20 17:05:37</t>
  </si>
  <si>
    <t xml:space="preserve">00492221</t>
  </si>
  <si>
    <t xml:space="preserve">010-7330-5556</t>
  </si>
  <si>
    <t xml:space="preserve">2026-08-20 16:38:57</t>
  </si>
  <si>
    <t xml:space="preserve">2026-08-20 16:19:34</t>
  </si>
  <si>
    <t xml:space="preserve">2026-08-20 16:21:04</t>
  </si>
  <si>
    <t xml:space="preserve">2026-08-20 16:13:42</t>
  </si>
  <si>
    <t xml:space="preserve">2026-08-20 16:06:50</t>
  </si>
  <si>
    <t xml:space="preserve">2026-08-20 17:40:07</t>
  </si>
  <si>
    <t xml:space="preserve">01000610</t>
  </si>
  <si>
    <t xml:space="preserve">2026-08-20 16:02:07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</si>
</sst>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9"/>
      <color rgb="FF666666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4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  <fill>
      <patternFill patternType="solid">
        <fgColor rgb="FFFFE0E0"/>
        <bgColor rgb="FFFFD6D6"/>
      </patternFill>
    </fill>
    <fill>
      <patternFill patternType="solid">
        <fgColor rgb="FFFFF4D6"/>
        <bgColor rgb="FFFFE0E0"/>
      </patternFill>
    </fill>
    <fill>
      <patternFill patternType="solid">
        <fgColor rgb="FFE6E6E6"/>
        <bgColor rgb="FFD9D9D9"/>
      </patternFill>
    </fill>
    <fill>
      <patternFill patternType="solid">
        <fgColor rgb="FFFFD6F0"/>
        <bgColor rgb="FFF3D9FF"/>
      </patternFill>
    </fill>
    <fill>
      <patternFill patternType="solid">
        <fgColor rgb="FFF3D9FF"/>
        <bgColor rgb="FFFFD6F0"/>
      </patternFill>
    </fill>
    <fill>
      <patternFill patternType="solid">
        <fgColor rgb="FFFFD6D6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6F0"/>
      <rgbColor rgb="FF808080"/>
      <rgbColor rgb="FF9999FF"/>
      <rgbColor rgb="FF993366"/>
      <rgbColor rgb="FFFFF4D6"/>
      <rgbColor rgb="FFE6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D9FF"/>
      <rgbColor rgb="FFCCFFCC"/>
      <rgbColor rgb="FFFFE0E0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8"/>
    <col collapsed="false" customWidth="true" hidden="false" outlineLevel="0" max="5" min="3" style="1" width="16"/>
    <col collapsed="false" customWidth="true" hidden="false" outlineLevel="0" max="6" min="6" style="1" width="52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15" hidden="false" customHeight="true" outlineLevel="0" collapsed="false">
      <c r="A7" s="6" t="s">
        <v>10</v>
      </c>
      <c r="B7" s="7" t="n">
        <v>23</v>
      </c>
      <c r="C7" s="7" t="n">
        <v>13381500</v>
      </c>
      <c r="D7" s="7" t="n">
        <v>0</v>
      </c>
      <c r="E7" s="7" t="n">
        <v>13381500</v>
      </c>
      <c r="F7" s="3" t="s">
        <v>11</v>
      </c>
    </row>
    <row r="8" customFormat="false" ht="15" hidden="false" customHeight="true" outlineLevel="0" collapsed="false">
      <c r="A8" s="8" t="s">
        <v>12</v>
      </c>
      <c r="B8" s="7" t="n">
        <v>70</v>
      </c>
      <c r="C8" s="7" t="n">
        <v>45754900</v>
      </c>
      <c r="D8" s="7" t="n">
        <v>17611900</v>
      </c>
      <c r="E8" s="7" t="n">
        <v>28143000</v>
      </c>
      <c r="F8" s="3" t="s">
        <v>13</v>
      </c>
    </row>
    <row r="9" customFormat="false" ht="15" hidden="false" customHeight="true" outlineLevel="0" collapsed="false">
      <c r="A9" s="9" t="s">
        <v>14</v>
      </c>
      <c r="B9" s="7" t="n">
        <v>39</v>
      </c>
      <c r="C9" s="7" t="n">
        <v>21263400</v>
      </c>
      <c r="D9" s="7" t="n">
        <v>0</v>
      </c>
      <c r="E9" s="7" t="n">
        <v>21263400</v>
      </c>
      <c r="F9" s="3" t="s">
        <v>15</v>
      </c>
    </row>
    <row r="10" customFormat="false" ht="15" hidden="false" customHeight="true" outlineLevel="0" collapsed="false">
      <c r="A10" s="10" t="s">
        <v>16</v>
      </c>
      <c r="B10" s="7" t="n">
        <v>4</v>
      </c>
      <c r="C10" s="7" t="n">
        <v>2893400</v>
      </c>
      <c r="D10" s="7" t="n">
        <v>4387000</v>
      </c>
      <c r="E10" s="7" t="n">
        <v>0</v>
      </c>
      <c r="F10" s="3" t="s">
        <v>17</v>
      </c>
    </row>
    <row r="11" customFormat="false" ht="15" hidden="false" customHeight="true" outlineLevel="0" collapsed="false">
      <c r="A11" s="11" t="s">
        <v>18</v>
      </c>
      <c r="B11" s="7" t="n">
        <v>12</v>
      </c>
      <c r="C11" s="7" t="n">
        <v>0</v>
      </c>
      <c r="D11" s="7" t="n">
        <v>667000</v>
      </c>
      <c r="E11" s="7" t="n">
        <v>0</v>
      </c>
      <c r="F11" s="3" t="s">
        <v>19</v>
      </c>
    </row>
    <row r="12" customFormat="false" ht="15" hidden="false" customHeight="true" outlineLevel="0" collapsed="false">
      <c r="A12" s="4" t="s">
        <v>20</v>
      </c>
      <c r="B12" s="12" t="n">
        <f aca="false">SUM(B7:B11)</f>
        <v>148</v>
      </c>
      <c r="C12" s="12" t="n">
        <f aca="false">SUM(C7:C11)</f>
        <v>83293200</v>
      </c>
      <c r="D12" s="12" t="n">
        <f aca="false">SUM(D7:D11)</f>
        <v>22665900</v>
      </c>
      <c r="E12" s="12" t="n">
        <f aca="false">SUM(E7:E11)</f>
        <v>62787900</v>
      </c>
    </row>
    <row r="15" customFormat="false" ht="15" hidden="false" customHeight="true" outlineLevel="0" collapsed="false">
      <c r="A15" s="4" t="s">
        <v>21</v>
      </c>
    </row>
    <row r="16" customFormat="false" ht="15" hidden="false" customHeight="true" outlineLevel="0" collapsed="false">
      <c r="A16" s="13" t="s">
        <v>22</v>
      </c>
    </row>
    <row r="17" customFormat="false" ht="15" hidden="false" customHeight="true" outlineLevel="0" collapsed="false">
      <c r="A17" s="3" t="s">
        <v>23</v>
      </c>
    </row>
    <row r="19" customFormat="false" ht="15" hidden="false" customHeight="true" outlineLevel="0" collapsed="false">
      <c r="A19" s="13" t="s">
        <v>24</v>
      </c>
    </row>
    <row r="20" customFormat="false" ht="15" hidden="false" customHeight="true" outlineLevel="0" collapsed="false">
      <c r="A20" s="3" t="s">
        <v>25</v>
      </c>
    </row>
    <row r="22" customFormat="false" ht="15" hidden="false" customHeight="true" outlineLevel="0" collapsed="false">
      <c r="A22" s="13" t="s">
        <v>26</v>
      </c>
    </row>
    <row r="23" customFormat="false" ht="15" hidden="false" customHeight="true" outlineLevel="0" collapsed="false">
      <c r="A23" s="3" t="s">
        <v>27</v>
      </c>
    </row>
    <row r="25" customFormat="false" ht="15" hidden="false" customHeight="true" outlineLevel="0" collapsed="false">
      <c r="A25" s="13" t="s">
        <v>28</v>
      </c>
    </row>
    <row r="26" customFormat="false" ht="15" hidden="false" customHeight="true" outlineLevel="0" collapsed="false">
      <c r="A26" s="3" t="s">
        <v>29</v>
      </c>
    </row>
    <row r="28" customFormat="false" ht="15" hidden="false" customHeight="true" outlineLevel="0" collapsed="false">
      <c r="A28" s="13" t="s">
        <v>30</v>
      </c>
    </row>
    <row r="29" customFormat="false" ht="15" hidden="false" customHeight="true" outlineLevel="0" collapsed="false">
      <c r="A29" s="3" t="s">
        <v>31</v>
      </c>
    </row>
    <row r="31" customFormat="false" ht="15" hidden="false" customHeight="false" outlineLevel="0" collapsed="false">
      <c r="A31" s="14" t="s">
        <v>32</v>
      </c>
    </row>
    <row r="32" customFormat="false" ht="15" hidden="false" customHeight="false" outlineLevel="0" collapsed="false">
      <c r="A32" s="1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16" min="6" style="1" width="12"/>
  </cols>
  <sheetData>
    <row r="1" customFormat="false" ht="17.25" hidden="false" customHeight="true" outlineLevel="0" collapsed="false">
      <c r="A1" s="15" t="s">
        <v>34</v>
      </c>
    </row>
    <row r="2" customFormat="false" ht="15" hidden="false" customHeight="true" outlineLevel="0" collapsed="false">
      <c r="A2" s="3" t="s">
        <v>35</v>
      </c>
    </row>
    <row r="4" customFormat="false" ht="15" hidden="false" customHeight="true" outlineLevel="0" collapsed="false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</v>
      </c>
      <c r="F4" s="16" t="s">
        <v>40</v>
      </c>
      <c r="G4" s="16" t="s">
        <v>41</v>
      </c>
      <c r="H4" s="16" t="s">
        <v>42</v>
      </c>
      <c r="I4" s="16" t="s">
        <v>43</v>
      </c>
      <c r="J4" s="16" t="s">
        <v>44</v>
      </c>
      <c r="K4" s="16" t="s">
        <v>45</v>
      </c>
      <c r="L4" s="16" t="s">
        <v>46</v>
      </c>
      <c r="M4" s="16" t="s">
        <v>47</v>
      </c>
      <c r="N4" s="16" t="s">
        <v>48</v>
      </c>
      <c r="O4" s="16" t="s">
        <v>49</v>
      </c>
      <c r="P4" s="16" t="s">
        <v>8</v>
      </c>
    </row>
    <row r="5" customFormat="false" ht="15" hidden="false" customHeight="true" outlineLevel="0" collapsed="false">
      <c r="A5" s="17" t="s">
        <v>50</v>
      </c>
      <c r="B5" s="18" t="s">
        <v>51</v>
      </c>
      <c r="C5" s="18" t="s">
        <v>52</v>
      </c>
      <c r="D5" s="18"/>
      <c r="E5" s="19" t="s">
        <v>10</v>
      </c>
      <c r="F5" s="20" t="n">
        <v>1440000</v>
      </c>
      <c r="G5" s="20" t="n">
        <v>200000</v>
      </c>
      <c r="H5" s="20" t="n">
        <v>470000</v>
      </c>
      <c r="I5" s="20" t="n">
        <v>0</v>
      </c>
      <c r="J5" s="20" t="n">
        <v>0</v>
      </c>
      <c r="K5" s="20" t="n">
        <v>0</v>
      </c>
      <c r="L5" s="20" t="n">
        <v>0</v>
      </c>
      <c r="M5" s="21" t="n">
        <f aca="false">SUM(I5:L5)</f>
        <v>0</v>
      </c>
      <c r="N5" s="20" t="n">
        <v>1140000</v>
      </c>
      <c r="O5" s="20" t="n">
        <v>280000</v>
      </c>
      <c r="P5" s="21" t="n">
        <f aca="false">F5-M5</f>
        <v>1440000</v>
      </c>
    </row>
    <row r="6" customFormat="false" ht="15" hidden="false" customHeight="true" outlineLevel="0" collapsed="false">
      <c r="A6" s="17" t="s">
        <v>53</v>
      </c>
      <c r="B6" s="18" t="s">
        <v>54</v>
      </c>
      <c r="C6" s="18" t="s">
        <v>55</v>
      </c>
      <c r="D6" s="18"/>
      <c r="E6" s="19" t="s">
        <v>10</v>
      </c>
      <c r="F6" s="20" t="n">
        <v>811000</v>
      </c>
      <c r="G6" s="20" t="n">
        <v>100000</v>
      </c>
      <c r="H6" s="20" t="n">
        <v>491000</v>
      </c>
      <c r="I6" s="20" t="n">
        <v>0</v>
      </c>
      <c r="J6" s="20" t="n">
        <v>0</v>
      </c>
      <c r="K6" s="20" t="n">
        <v>0</v>
      </c>
      <c r="L6" s="20" t="n">
        <v>0</v>
      </c>
      <c r="M6" s="21" t="n">
        <f aca="false">SUM(I6:L6)</f>
        <v>0</v>
      </c>
      <c r="N6" s="20" t="n">
        <v>410000</v>
      </c>
      <c r="O6" s="20" t="n">
        <v>0</v>
      </c>
      <c r="P6" s="21" t="n">
        <f aca="false">F6-M6</f>
        <v>811000</v>
      </c>
    </row>
    <row r="7" customFormat="false" ht="15" hidden="false" customHeight="true" outlineLevel="0" collapsed="false">
      <c r="A7" s="17" t="s">
        <v>56</v>
      </c>
      <c r="B7" s="18" t="s">
        <v>51</v>
      </c>
      <c r="C7" s="18" t="s">
        <v>52</v>
      </c>
      <c r="D7" s="18"/>
      <c r="E7" s="19" t="s">
        <v>10</v>
      </c>
      <c r="F7" s="20" t="n">
        <v>680000</v>
      </c>
      <c r="G7" s="20" t="n">
        <v>200000</v>
      </c>
      <c r="H7" s="20" t="n">
        <v>480000</v>
      </c>
      <c r="I7" s="20" t="n">
        <v>0</v>
      </c>
      <c r="J7" s="20" t="n">
        <v>0</v>
      </c>
      <c r="K7" s="20" t="n">
        <v>0</v>
      </c>
      <c r="L7" s="20" t="n">
        <v>0</v>
      </c>
      <c r="M7" s="21" t="n">
        <f aca="false">SUM(I7:L7)</f>
        <v>0</v>
      </c>
      <c r="N7" s="20" t="n">
        <v>3235000</v>
      </c>
      <c r="O7" s="20" t="n">
        <v>100000</v>
      </c>
      <c r="P7" s="21" t="n">
        <f aca="false">F7-M7</f>
        <v>680000</v>
      </c>
    </row>
    <row r="8" customFormat="false" ht="15" hidden="false" customHeight="true" outlineLevel="0" collapsed="false">
      <c r="A8" s="17" t="s">
        <v>57</v>
      </c>
      <c r="B8" s="18" t="s">
        <v>58</v>
      </c>
      <c r="C8" s="18" t="s">
        <v>59</v>
      </c>
      <c r="D8" s="18"/>
      <c r="E8" s="19" t="s">
        <v>10</v>
      </c>
      <c r="F8" s="20" t="n">
        <v>671700</v>
      </c>
      <c r="G8" s="20" t="n">
        <v>170000</v>
      </c>
      <c r="H8" s="20" t="n">
        <v>501700</v>
      </c>
      <c r="I8" s="20" t="n">
        <v>0</v>
      </c>
      <c r="J8" s="20" t="n">
        <v>0</v>
      </c>
      <c r="K8" s="20" t="n">
        <v>0</v>
      </c>
      <c r="L8" s="20" t="n">
        <v>0</v>
      </c>
      <c r="M8" s="21" t="n">
        <f aca="false">SUM(I8:L8)</f>
        <v>0</v>
      </c>
      <c r="N8" s="20" t="n">
        <v>201700</v>
      </c>
      <c r="O8" s="20" t="n">
        <v>0</v>
      </c>
      <c r="P8" s="21" t="n">
        <f aca="false">F8-M8</f>
        <v>671700</v>
      </c>
    </row>
    <row r="9" customFormat="false" ht="15" hidden="false" customHeight="true" outlineLevel="0" collapsed="false">
      <c r="A9" s="17" t="s">
        <v>60</v>
      </c>
      <c r="B9" s="18" t="s">
        <v>61</v>
      </c>
      <c r="C9" s="18" t="s">
        <v>59</v>
      </c>
      <c r="D9" s="18"/>
      <c r="E9" s="19" t="s">
        <v>10</v>
      </c>
      <c r="F9" s="20" t="n">
        <v>652600</v>
      </c>
      <c r="G9" s="20" t="n">
        <v>100000</v>
      </c>
      <c r="H9" s="20" t="n">
        <v>511700</v>
      </c>
      <c r="I9" s="20" t="n">
        <v>0</v>
      </c>
      <c r="J9" s="20" t="n">
        <v>0</v>
      </c>
      <c r="K9" s="20" t="n">
        <v>0</v>
      </c>
      <c r="L9" s="20" t="n">
        <v>0</v>
      </c>
      <c r="M9" s="21" t="n">
        <f aca="false">SUM(I9:L9)</f>
        <v>0</v>
      </c>
      <c r="N9" s="20" t="n">
        <v>311700</v>
      </c>
      <c r="O9" s="20" t="n">
        <v>0</v>
      </c>
      <c r="P9" s="21" t="n">
        <f aca="false">F9-M9</f>
        <v>652600</v>
      </c>
    </row>
    <row r="10" customFormat="false" ht="15" hidden="false" customHeight="true" outlineLevel="0" collapsed="false">
      <c r="A10" s="17" t="s">
        <v>62</v>
      </c>
      <c r="B10" s="18" t="s">
        <v>58</v>
      </c>
      <c r="C10" s="18" t="s">
        <v>59</v>
      </c>
      <c r="D10" s="18"/>
      <c r="E10" s="19" t="s">
        <v>10</v>
      </c>
      <c r="F10" s="20" t="n">
        <v>611700</v>
      </c>
      <c r="G10" s="20" t="n">
        <v>100000</v>
      </c>
      <c r="H10" s="20" t="n">
        <v>511700</v>
      </c>
      <c r="I10" s="20" t="n">
        <v>0</v>
      </c>
      <c r="J10" s="20" t="n">
        <v>0</v>
      </c>
      <c r="K10" s="20" t="n">
        <v>0</v>
      </c>
      <c r="L10" s="20" t="n">
        <v>0</v>
      </c>
      <c r="M10" s="21" t="n">
        <f aca="false">SUM(I10:L10)</f>
        <v>0</v>
      </c>
      <c r="N10" s="20" t="n">
        <v>2465900</v>
      </c>
      <c r="O10" s="20" t="n">
        <v>301700</v>
      </c>
      <c r="P10" s="21" t="n">
        <f aca="false">F10-M10</f>
        <v>611700</v>
      </c>
    </row>
    <row r="11" customFormat="false" ht="15" hidden="false" customHeight="true" outlineLevel="0" collapsed="false">
      <c r="A11" s="17" t="s">
        <v>63</v>
      </c>
      <c r="B11" s="18" t="s">
        <v>64</v>
      </c>
      <c r="C11" s="18" t="s">
        <v>65</v>
      </c>
      <c r="D11" s="18"/>
      <c r="E11" s="19" t="s">
        <v>10</v>
      </c>
      <c r="F11" s="20" t="n">
        <v>600700</v>
      </c>
      <c r="G11" s="20" t="n">
        <v>100000</v>
      </c>
      <c r="H11" s="20" t="n">
        <v>500700</v>
      </c>
      <c r="I11" s="20" t="n">
        <v>0</v>
      </c>
      <c r="J11" s="20" t="n">
        <v>0</v>
      </c>
      <c r="K11" s="20" t="n">
        <v>0</v>
      </c>
      <c r="L11" s="20" t="n">
        <v>0</v>
      </c>
      <c r="M11" s="21" t="n">
        <f aca="false">SUM(I11:L11)</f>
        <v>0</v>
      </c>
      <c r="N11" s="20" t="n">
        <v>300700</v>
      </c>
      <c r="O11" s="20" t="n">
        <v>0</v>
      </c>
      <c r="P11" s="21" t="n">
        <f aca="false">F11-M11</f>
        <v>600700</v>
      </c>
    </row>
    <row r="12" customFormat="false" ht="15" hidden="false" customHeight="true" outlineLevel="0" collapsed="false">
      <c r="A12" s="17" t="s">
        <v>66</v>
      </c>
      <c r="B12" s="18" t="s">
        <v>58</v>
      </c>
      <c r="C12" s="18" t="s">
        <v>59</v>
      </c>
      <c r="D12" s="18"/>
      <c r="E12" s="19" t="s">
        <v>10</v>
      </c>
      <c r="F12" s="20" t="n">
        <v>596700</v>
      </c>
      <c r="G12" s="20" t="n">
        <v>85000</v>
      </c>
      <c r="H12" s="20" t="n">
        <v>511700</v>
      </c>
      <c r="I12" s="20" t="n">
        <v>0</v>
      </c>
      <c r="J12" s="20" t="n">
        <v>0</v>
      </c>
      <c r="K12" s="20" t="n">
        <v>0</v>
      </c>
      <c r="L12" s="20" t="n">
        <v>0</v>
      </c>
      <c r="M12" s="21" t="n">
        <f aca="false">SUM(I12:L12)</f>
        <v>0</v>
      </c>
      <c r="N12" s="20" t="n">
        <v>211700</v>
      </c>
      <c r="O12" s="20" t="n">
        <v>45000</v>
      </c>
      <c r="P12" s="21" t="n">
        <f aca="false">F12-M12</f>
        <v>596700</v>
      </c>
    </row>
    <row r="13" customFormat="false" ht="15" hidden="false" customHeight="true" outlineLevel="0" collapsed="false">
      <c r="A13" s="17" t="s">
        <v>67</v>
      </c>
      <c r="B13" s="18" t="s">
        <v>68</v>
      </c>
      <c r="C13" s="18" t="s">
        <v>55</v>
      </c>
      <c r="D13" s="18"/>
      <c r="E13" s="19" t="s">
        <v>10</v>
      </c>
      <c r="F13" s="20" t="n">
        <v>591000</v>
      </c>
      <c r="G13" s="20" t="n">
        <v>100000</v>
      </c>
      <c r="H13" s="20" t="n">
        <v>491000</v>
      </c>
      <c r="I13" s="20" t="n">
        <v>0</v>
      </c>
      <c r="J13" s="20" t="n">
        <v>0</v>
      </c>
      <c r="K13" s="20" t="n">
        <v>0</v>
      </c>
      <c r="L13" s="20" t="n">
        <v>0</v>
      </c>
      <c r="M13" s="21" t="n">
        <f aca="false">SUM(I13:L13)</f>
        <v>0</v>
      </c>
      <c r="N13" s="20" t="n">
        <v>1201000</v>
      </c>
      <c r="O13" s="20" t="n">
        <v>0</v>
      </c>
      <c r="P13" s="21" t="n">
        <f aca="false">F13-M13</f>
        <v>591000</v>
      </c>
    </row>
    <row r="14" customFormat="false" ht="15" hidden="false" customHeight="true" outlineLevel="0" collapsed="false">
      <c r="A14" s="17" t="s">
        <v>69</v>
      </c>
      <c r="B14" s="18" t="s">
        <v>70</v>
      </c>
      <c r="C14" s="18" t="s">
        <v>52</v>
      </c>
      <c r="D14" s="18"/>
      <c r="E14" s="19" t="s">
        <v>10</v>
      </c>
      <c r="F14" s="20" t="n">
        <v>582900</v>
      </c>
      <c r="G14" s="20" t="n">
        <v>100000</v>
      </c>
      <c r="H14" s="20" t="n">
        <v>470000</v>
      </c>
      <c r="I14" s="20" t="n">
        <v>0</v>
      </c>
      <c r="J14" s="20" t="n">
        <v>0</v>
      </c>
      <c r="K14" s="20" t="n">
        <v>0</v>
      </c>
      <c r="L14" s="20" t="n">
        <v>0</v>
      </c>
      <c r="M14" s="21" t="n">
        <f aca="false">SUM(I14:L14)</f>
        <v>0</v>
      </c>
      <c r="N14" s="20" t="n">
        <v>2493000</v>
      </c>
      <c r="O14" s="20" t="n">
        <v>170000</v>
      </c>
      <c r="P14" s="21" t="n">
        <f aca="false">F14-M14</f>
        <v>582900</v>
      </c>
    </row>
    <row r="15" customFormat="false" ht="15" hidden="false" customHeight="true" outlineLevel="0" collapsed="false">
      <c r="A15" s="17" t="s">
        <v>71</v>
      </c>
      <c r="B15" s="18" t="s">
        <v>61</v>
      </c>
      <c r="C15" s="18" t="s">
        <v>59</v>
      </c>
      <c r="D15" s="18"/>
      <c r="E15" s="19" t="s">
        <v>10</v>
      </c>
      <c r="F15" s="20" t="n">
        <v>511700</v>
      </c>
      <c r="G15" s="20" t="n">
        <v>0</v>
      </c>
      <c r="H15" s="20" t="n">
        <v>511700</v>
      </c>
      <c r="I15" s="20" t="n">
        <v>0</v>
      </c>
      <c r="J15" s="20" t="n">
        <v>0</v>
      </c>
      <c r="K15" s="20" t="n">
        <v>0</v>
      </c>
      <c r="L15" s="20" t="n">
        <v>0</v>
      </c>
      <c r="M15" s="21" t="n">
        <f aca="false">SUM(I15:L15)</f>
        <v>0</v>
      </c>
      <c r="N15" s="20" t="n">
        <v>345700</v>
      </c>
      <c r="O15" s="20" t="n">
        <v>0</v>
      </c>
      <c r="P15" s="21" t="n">
        <f aca="false">F15-M15</f>
        <v>511700</v>
      </c>
    </row>
    <row r="16" customFormat="false" ht="15" hidden="false" customHeight="true" outlineLevel="0" collapsed="false">
      <c r="A16" s="17" t="s">
        <v>72</v>
      </c>
      <c r="B16" s="18" t="s">
        <v>73</v>
      </c>
      <c r="C16" s="18" t="s">
        <v>55</v>
      </c>
      <c r="D16" s="18"/>
      <c r="E16" s="19" t="s">
        <v>10</v>
      </c>
      <c r="F16" s="20" t="n">
        <v>511000</v>
      </c>
      <c r="G16" s="20" t="n">
        <v>0</v>
      </c>
      <c r="H16" s="20" t="n">
        <v>511000</v>
      </c>
      <c r="I16" s="20" t="n">
        <v>0</v>
      </c>
      <c r="J16" s="20" t="n">
        <v>0</v>
      </c>
      <c r="K16" s="20" t="n">
        <v>0</v>
      </c>
      <c r="L16" s="20" t="n">
        <v>0</v>
      </c>
      <c r="M16" s="21" t="n">
        <f aca="false">SUM(I16:L16)</f>
        <v>0</v>
      </c>
      <c r="N16" s="20" t="n">
        <v>217000</v>
      </c>
      <c r="O16" s="20" t="n">
        <v>0</v>
      </c>
      <c r="P16" s="21" t="n">
        <f aca="false">F16-M16</f>
        <v>511000</v>
      </c>
    </row>
    <row r="17" customFormat="false" ht="15" hidden="false" customHeight="true" outlineLevel="0" collapsed="false">
      <c r="A17" s="17" t="s">
        <v>74</v>
      </c>
      <c r="B17" s="18" t="s">
        <v>68</v>
      </c>
      <c r="C17" s="18" t="s">
        <v>55</v>
      </c>
      <c r="D17" s="18"/>
      <c r="E17" s="19" t="s">
        <v>10</v>
      </c>
      <c r="F17" s="20" t="n">
        <v>511000</v>
      </c>
      <c r="G17" s="20" t="n">
        <v>0</v>
      </c>
      <c r="H17" s="20" t="n">
        <v>511000</v>
      </c>
      <c r="I17" s="20" t="n">
        <v>0</v>
      </c>
      <c r="J17" s="20" t="n">
        <v>0</v>
      </c>
      <c r="K17" s="20" t="n">
        <v>0</v>
      </c>
      <c r="L17" s="20" t="n">
        <v>0</v>
      </c>
      <c r="M17" s="21" t="n">
        <f aca="false">SUM(I17:L17)</f>
        <v>0</v>
      </c>
      <c r="N17" s="20" t="n">
        <v>692000</v>
      </c>
      <c r="O17" s="20" t="n">
        <v>0</v>
      </c>
      <c r="P17" s="21" t="n">
        <f aca="false">F17-M17</f>
        <v>511000</v>
      </c>
    </row>
    <row r="18" customFormat="false" ht="15" hidden="false" customHeight="true" outlineLevel="0" collapsed="false">
      <c r="A18" s="17" t="s">
        <v>75</v>
      </c>
      <c r="B18" s="18" t="s">
        <v>58</v>
      </c>
      <c r="C18" s="18" t="s">
        <v>59</v>
      </c>
      <c r="D18" s="18"/>
      <c r="E18" s="19" t="s">
        <v>10</v>
      </c>
      <c r="F18" s="20" t="n">
        <v>501700</v>
      </c>
      <c r="G18" s="20" t="n">
        <v>0</v>
      </c>
      <c r="H18" s="20" t="n">
        <v>501700</v>
      </c>
      <c r="I18" s="20" t="n">
        <v>0</v>
      </c>
      <c r="J18" s="20" t="n">
        <v>0</v>
      </c>
      <c r="K18" s="20" t="n">
        <v>0</v>
      </c>
      <c r="L18" s="20" t="n">
        <v>0</v>
      </c>
      <c r="M18" s="21" t="n">
        <f aca="false">SUM(I18:L18)</f>
        <v>0</v>
      </c>
      <c r="N18" s="20" t="n">
        <v>201700</v>
      </c>
      <c r="O18" s="20" t="n">
        <v>0</v>
      </c>
      <c r="P18" s="21" t="n">
        <f aca="false">F18-M18</f>
        <v>501700</v>
      </c>
    </row>
    <row r="19" customFormat="false" ht="15" hidden="false" customHeight="true" outlineLevel="0" collapsed="false">
      <c r="A19" s="17" t="s">
        <v>76</v>
      </c>
      <c r="B19" s="18" t="s">
        <v>58</v>
      </c>
      <c r="C19" s="18" t="s">
        <v>59</v>
      </c>
      <c r="D19" s="18"/>
      <c r="E19" s="19" t="s">
        <v>10</v>
      </c>
      <c r="F19" s="20" t="n">
        <v>501700</v>
      </c>
      <c r="G19" s="20" t="n">
        <v>0</v>
      </c>
      <c r="H19" s="20" t="n">
        <v>501700</v>
      </c>
      <c r="I19" s="20" t="n">
        <v>0</v>
      </c>
      <c r="J19" s="20" t="n">
        <v>0</v>
      </c>
      <c r="K19" s="20" t="n">
        <v>0</v>
      </c>
      <c r="L19" s="20" t="n">
        <v>0</v>
      </c>
      <c r="M19" s="21" t="n">
        <f aca="false">SUM(I19:L19)</f>
        <v>0</v>
      </c>
      <c r="N19" s="20" t="n">
        <v>201700</v>
      </c>
      <c r="O19" s="20" t="n">
        <v>0</v>
      </c>
      <c r="P19" s="21" t="n">
        <f aca="false">F19-M19</f>
        <v>501700</v>
      </c>
    </row>
    <row r="20" customFormat="false" ht="15" hidden="false" customHeight="true" outlineLevel="0" collapsed="false">
      <c r="A20" s="17" t="s">
        <v>77</v>
      </c>
      <c r="B20" s="18" t="s">
        <v>73</v>
      </c>
      <c r="C20" s="18" t="s">
        <v>55</v>
      </c>
      <c r="D20" s="18"/>
      <c r="E20" s="19" t="s">
        <v>10</v>
      </c>
      <c r="F20" s="20" t="n">
        <v>501000</v>
      </c>
      <c r="G20" s="20" t="n">
        <v>0</v>
      </c>
      <c r="H20" s="20" t="n">
        <v>501000</v>
      </c>
      <c r="I20" s="20" t="n">
        <v>0</v>
      </c>
      <c r="J20" s="20" t="n">
        <v>0</v>
      </c>
      <c r="K20" s="20" t="n">
        <v>0</v>
      </c>
      <c r="L20" s="20" t="n">
        <v>0</v>
      </c>
      <c r="M20" s="21" t="n">
        <f aca="false">SUM(I20:L20)</f>
        <v>0</v>
      </c>
      <c r="N20" s="20" t="n">
        <v>272000</v>
      </c>
      <c r="O20" s="20" t="n">
        <v>0</v>
      </c>
      <c r="P20" s="21" t="n">
        <f aca="false">F20-M20</f>
        <v>501000</v>
      </c>
    </row>
    <row r="21" customFormat="false" ht="15" hidden="false" customHeight="true" outlineLevel="0" collapsed="false">
      <c r="A21" s="17" t="s">
        <v>78</v>
      </c>
      <c r="B21" s="18" t="s">
        <v>64</v>
      </c>
      <c r="C21" s="18" t="s">
        <v>65</v>
      </c>
      <c r="D21" s="18"/>
      <c r="E21" s="19" t="s">
        <v>10</v>
      </c>
      <c r="F21" s="20" t="n">
        <v>491200</v>
      </c>
      <c r="G21" s="20" t="n">
        <v>0</v>
      </c>
      <c r="H21" s="20" t="n">
        <v>491200</v>
      </c>
      <c r="I21" s="20" t="n">
        <v>0</v>
      </c>
      <c r="J21" s="20" t="n">
        <v>0</v>
      </c>
      <c r="K21" s="20" t="n">
        <v>0</v>
      </c>
      <c r="L21" s="20" t="n">
        <v>0</v>
      </c>
      <c r="M21" s="21" t="n">
        <f aca="false">SUM(I21:L21)</f>
        <v>0</v>
      </c>
      <c r="N21" s="20" t="n">
        <v>9926200</v>
      </c>
      <c r="O21" s="20" t="n">
        <v>0</v>
      </c>
      <c r="P21" s="21" t="n">
        <f aca="false">F21-M21</f>
        <v>491200</v>
      </c>
    </row>
    <row r="22" customFormat="false" ht="15" hidden="false" customHeight="true" outlineLevel="0" collapsed="false">
      <c r="A22" s="17" t="s">
        <v>79</v>
      </c>
      <c r="B22" s="18" t="s">
        <v>64</v>
      </c>
      <c r="C22" s="18" t="s">
        <v>65</v>
      </c>
      <c r="D22" s="18"/>
      <c r="E22" s="19" t="s">
        <v>10</v>
      </c>
      <c r="F22" s="20" t="n">
        <v>491200</v>
      </c>
      <c r="G22" s="20" t="n">
        <v>0</v>
      </c>
      <c r="H22" s="20" t="n">
        <v>491200</v>
      </c>
      <c r="I22" s="20" t="n">
        <v>0</v>
      </c>
      <c r="J22" s="20" t="n">
        <v>0</v>
      </c>
      <c r="K22" s="20" t="n">
        <v>0</v>
      </c>
      <c r="L22" s="20" t="n">
        <v>0</v>
      </c>
      <c r="M22" s="21" t="n">
        <f aca="false">SUM(I22:L22)</f>
        <v>0</v>
      </c>
      <c r="N22" s="20" t="n">
        <v>191000</v>
      </c>
      <c r="O22" s="20" t="n">
        <v>0</v>
      </c>
      <c r="P22" s="21" t="n">
        <f aca="false">F22-M22</f>
        <v>491200</v>
      </c>
    </row>
    <row r="23" customFormat="false" ht="15" hidden="false" customHeight="true" outlineLevel="0" collapsed="false">
      <c r="A23" s="17" t="s">
        <v>80</v>
      </c>
      <c r="B23" s="18" t="s">
        <v>54</v>
      </c>
      <c r="C23" s="18" t="s">
        <v>55</v>
      </c>
      <c r="D23" s="18"/>
      <c r="E23" s="19" t="s">
        <v>10</v>
      </c>
      <c r="F23" s="20" t="n">
        <v>491000</v>
      </c>
      <c r="G23" s="20" t="n">
        <v>0</v>
      </c>
      <c r="H23" s="20" t="n">
        <v>491000</v>
      </c>
      <c r="I23" s="20" t="n">
        <v>0</v>
      </c>
      <c r="J23" s="20" t="n">
        <v>0</v>
      </c>
      <c r="K23" s="20" t="n">
        <v>0</v>
      </c>
      <c r="L23" s="20" t="n">
        <v>0</v>
      </c>
      <c r="M23" s="21" t="n">
        <f aca="false">SUM(I23:L23)</f>
        <v>0</v>
      </c>
      <c r="N23" s="20" t="n">
        <v>11001000</v>
      </c>
      <c r="O23" s="20" t="n">
        <v>0</v>
      </c>
      <c r="P23" s="21" t="n">
        <f aca="false">F23-M23</f>
        <v>491000</v>
      </c>
    </row>
    <row r="24" customFormat="false" ht="15" hidden="false" customHeight="true" outlineLevel="0" collapsed="false">
      <c r="A24" s="17" t="s">
        <v>81</v>
      </c>
      <c r="B24" s="18" t="s">
        <v>51</v>
      </c>
      <c r="C24" s="18" t="s">
        <v>52</v>
      </c>
      <c r="D24" s="18"/>
      <c r="E24" s="19" t="s">
        <v>10</v>
      </c>
      <c r="F24" s="20" t="n">
        <v>480000</v>
      </c>
      <c r="G24" s="20" t="n">
        <v>0</v>
      </c>
      <c r="H24" s="20" t="n">
        <v>480000</v>
      </c>
      <c r="I24" s="20" t="n">
        <v>0</v>
      </c>
      <c r="J24" s="20" t="n">
        <v>0</v>
      </c>
      <c r="K24" s="20" t="n">
        <v>0</v>
      </c>
      <c r="L24" s="20" t="n">
        <v>0</v>
      </c>
      <c r="M24" s="21" t="n">
        <f aca="false">SUM(I24:L24)</f>
        <v>0</v>
      </c>
      <c r="N24" s="20" t="n">
        <v>170000</v>
      </c>
      <c r="O24" s="20" t="n">
        <v>0</v>
      </c>
      <c r="P24" s="21" t="n">
        <f aca="false">F24-M24</f>
        <v>480000</v>
      </c>
    </row>
    <row r="25" customFormat="false" ht="15" hidden="false" customHeight="true" outlineLevel="0" collapsed="false">
      <c r="A25" s="17" t="s">
        <v>82</v>
      </c>
      <c r="B25" s="18" t="s">
        <v>51</v>
      </c>
      <c r="C25" s="18" t="s">
        <v>52</v>
      </c>
      <c r="D25" s="18"/>
      <c r="E25" s="19" t="s">
        <v>10</v>
      </c>
      <c r="F25" s="20" t="n">
        <v>480000</v>
      </c>
      <c r="G25" s="20" t="n">
        <v>0</v>
      </c>
      <c r="H25" s="20" t="n">
        <v>480000</v>
      </c>
      <c r="I25" s="20" t="n">
        <v>0</v>
      </c>
      <c r="J25" s="20" t="n">
        <v>0</v>
      </c>
      <c r="K25" s="20" t="n">
        <v>0</v>
      </c>
      <c r="L25" s="20" t="n">
        <v>0</v>
      </c>
      <c r="M25" s="21" t="n">
        <f aca="false">SUM(I25:L25)</f>
        <v>0</v>
      </c>
      <c r="N25" s="20" t="n">
        <v>170000</v>
      </c>
      <c r="O25" s="20" t="n">
        <v>0</v>
      </c>
      <c r="P25" s="21" t="n">
        <f aca="false">F25-M25</f>
        <v>480000</v>
      </c>
    </row>
    <row r="26" customFormat="false" ht="15" hidden="false" customHeight="true" outlineLevel="0" collapsed="false">
      <c r="A26" s="17" t="s">
        <v>83</v>
      </c>
      <c r="B26" s="18" t="s">
        <v>70</v>
      </c>
      <c r="C26" s="18" t="s">
        <v>52</v>
      </c>
      <c r="D26" s="18"/>
      <c r="E26" s="19" t="s">
        <v>10</v>
      </c>
      <c r="F26" s="20" t="n">
        <v>470000</v>
      </c>
      <c r="G26" s="20" t="n">
        <v>0</v>
      </c>
      <c r="H26" s="20" t="n">
        <v>470000</v>
      </c>
      <c r="I26" s="20" t="n">
        <v>0</v>
      </c>
      <c r="J26" s="20" t="n">
        <v>0</v>
      </c>
      <c r="K26" s="20" t="n">
        <v>0</v>
      </c>
      <c r="L26" s="20" t="n">
        <v>0</v>
      </c>
      <c r="M26" s="21" t="n">
        <f aca="false">SUM(I26:L26)</f>
        <v>0</v>
      </c>
      <c r="N26" s="20" t="n">
        <v>2285000</v>
      </c>
      <c r="O26" s="20" t="n">
        <v>0</v>
      </c>
      <c r="P26" s="21" t="n">
        <f aca="false">F26-M26</f>
        <v>470000</v>
      </c>
    </row>
    <row r="27" customFormat="false" ht="15" hidden="false" customHeight="true" outlineLevel="0" collapsed="false">
      <c r="A27" s="17" t="s">
        <v>84</v>
      </c>
      <c r="B27" s="18" t="s">
        <v>61</v>
      </c>
      <c r="C27" s="18" t="s">
        <v>59</v>
      </c>
      <c r="D27" s="18"/>
      <c r="E27" s="19" t="s">
        <v>10</v>
      </c>
      <c r="F27" s="20" t="n">
        <v>201700</v>
      </c>
      <c r="G27" s="20" t="n">
        <v>0</v>
      </c>
      <c r="H27" s="20" t="n">
        <v>201700</v>
      </c>
      <c r="I27" s="20" t="n">
        <v>0</v>
      </c>
      <c r="J27" s="20" t="n">
        <v>0</v>
      </c>
      <c r="K27" s="20" t="n">
        <v>0</v>
      </c>
      <c r="L27" s="20" t="n">
        <v>0</v>
      </c>
      <c r="M27" s="21" t="n">
        <f aca="false">SUM(I27:L27)</f>
        <v>0</v>
      </c>
      <c r="N27" s="20" t="n">
        <v>201700</v>
      </c>
      <c r="O27" s="20" t="n">
        <v>0</v>
      </c>
      <c r="P27" s="21" t="n">
        <f aca="false">F27-M27</f>
        <v>201700</v>
      </c>
    </row>
    <row r="28" customFormat="false" ht="15" hidden="false" customHeight="true" outlineLevel="0" collapsed="false">
      <c r="A28" s="17" t="s">
        <v>85</v>
      </c>
      <c r="B28" s="18" t="s">
        <v>73</v>
      </c>
      <c r="C28" s="18" t="s">
        <v>55</v>
      </c>
      <c r="D28" s="18"/>
      <c r="E28" s="22" t="s">
        <v>12</v>
      </c>
      <c r="F28" s="20" t="n">
        <v>1461000</v>
      </c>
      <c r="G28" s="20" t="n">
        <v>100000</v>
      </c>
      <c r="H28" s="20" t="n">
        <v>591000</v>
      </c>
      <c r="I28" s="20" t="n">
        <v>100000</v>
      </c>
      <c r="J28" s="20" t="n">
        <v>0</v>
      </c>
      <c r="K28" s="20" t="n">
        <v>0</v>
      </c>
      <c r="L28" s="20" t="n">
        <v>0</v>
      </c>
      <c r="M28" s="21" t="n">
        <f aca="false">SUM(I28:L28)</f>
        <v>100000</v>
      </c>
      <c r="N28" s="20" t="n">
        <v>391000</v>
      </c>
      <c r="O28" s="20" t="n">
        <v>100000</v>
      </c>
      <c r="P28" s="21" t="n">
        <f aca="false">F28-M28</f>
        <v>1361000</v>
      </c>
    </row>
    <row r="29" customFormat="false" ht="15" hidden="false" customHeight="true" outlineLevel="0" collapsed="false">
      <c r="A29" s="17" t="s">
        <v>86</v>
      </c>
      <c r="B29" s="18" t="s">
        <v>54</v>
      </c>
      <c r="C29" s="18" t="s">
        <v>55</v>
      </c>
      <c r="D29" s="18"/>
      <c r="E29" s="22" t="s">
        <v>12</v>
      </c>
      <c r="F29" s="20" t="n">
        <v>1301000</v>
      </c>
      <c r="G29" s="20" t="n">
        <v>100000</v>
      </c>
      <c r="H29" s="20" t="n">
        <v>591000</v>
      </c>
      <c r="I29" s="20" t="n">
        <v>100000</v>
      </c>
      <c r="J29" s="20" t="n">
        <v>0</v>
      </c>
      <c r="K29" s="20" t="n">
        <v>0</v>
      </c>
      <c r="L29" s="20" t="n">
        <v>0</v>
      </c>
      <c r="M29" s="21" t="n">
        <f aca="false">SUM(I29:L29)</f>
        <v>100000</v>
      </c>
      <c r="N29" s="20" t="n">
        <v>291000</v>
      </c>
      <c r="O29" s="20" t="n">
        <v>326000</v>
      </c>
      <c r="P29" s="21" t="n">
        <f aca="false">F29-M29</f>
        <v>1201000</v>
      </c>
    </row>
    <row r="30" customFormat="false" ht="15" hidden="false" customHeight="true" outlineLevel="0" collapsed="false">
      <c r="A30" s="17" t="s">
        <v>87</v>
      </c>
      <c r="B30" s="18" t="s">
        <v>88</v>
      </c>
      <c r="C30" s="18" t="s">
        <v>89</v>
      </c>
      <c r="D30" s="23" t="s">
        <v>90</v>
      </c>
      <c r="E30" s="22" t="s">
        <v>12</v>
      </c>
      <c r="F30" s="20" t="n">
        <v>1823700</v>
      </c>
      <c r="G30" s="20" t="n">
        <v>300000</v>
      </c>
      <c r="H30" s="20" t="n">
        <v>1523700</v>
      </c>
      <c r="I30" s="20" t="n">
        <v>200000</v>
      </c>
      <c r="J30" s="20" t="n">
        <v>603700</v>
      </c>
      <c r="K30" s="20" t="n">
        <v>0</v>
      </c>
      <c r="L30" s="20" t="n">
        <v>10000</v>
      </c>
      <c r="M30" s="21" t="n">
        <f aca="false">SUM(I30:L30)</f>
        <v>813700</v>
      </c>
      <c r="N30" s="20" t="n">
        <v>100000</v>
      </c>
      <c r="O30" s="20" t="n">
        <v>0</v>
      </c>
      <c r="P30" s="21" t="n">
        <f aca="false">F30-M30</f>
        <v>1010000</v>
      </c>
    </row>
    <row r="31" customFormat="false" ht="15" hidden="false" customHeight="true" outlineLevel="0" collapsed="false">
      <c r="A31" s="17" t="s">
        <v>91</v>
      </c>
      <c r="B31" s="18" t="s">
        <v>92</v>
      </c>
      <c r="C31" s="18" t="s">
        <v>93</v>
      </c>
      <c r="D31" s="23" t="s">
        <v>90</v>
      </c>
      <c r="E31" s="22" t="s">
        <v>12</v>
      </c>
      <c r="F31" s="20" t="n">
        <v>1121700</v>
      </c>
      <c r="G31" s="20" t="n">
        <v>200000</v>
      </c>
      <c r="H31" s="20" t="n">
        <v>921700</v>
      </c>
      <c r="I31" s="20" t="n">
        <v>200000</v>
      </c>
      <c r="J31" s="20" t="n">
        <v>0</v>
      </c>
      <c r="K31" s="20" t="n">
        <v>0</v>
      </c>
      <c r="L31" s="20" t="n">
        <v>75000</v>
      </c>
      <c r="M31" s="21" t="n">
        <f aca="false">SUM(I31:L31)</f>
        <v>275000</v>
      </c>
      <c r="N31" s="20" t="n">
        <v>201700</v>
      </c>
      <c r="O31" s="20" t="n">
        <v>301700</v>
      </c>
      <c r="P31" s="21" t="n">
        <f aca="false">F31-M31</f>
        <v>846700</v>
      </c>
    </row>
    <row r="32" customFormat="false" ht="15" hidden="false" customHeight="true" outlineLevel="0" collapsed="false">
      <c r="A32" s="17" t="s">
        <v>94</v>
      </c>
      <c r="B32" s="18" t="s">
        <v>68</v>
      </c>
      <c r="C32" s="18" t="s">
        <v>55</v>
      </c>
      <c r="D32" s="18"/>
      <c r="E32" s="22" t="s">
        <v>12</v>
      </c>
      <c r="F32" s="20" t="n">
        <v>855000</v>
      </c>
      <c r="G32" s="20" t="n">
        <v>100000</v>
      </c>
      <c r="H32" s="20" t="n">
        <v>601000</v>
      </c>
      <c r="I32" s="20" t="n">
        <v>100000</v>
      </c>
      <c r="J32" s="20" t="n">
        <v>0</v>
      </c>
      <c r="K32" s="20" t="n">
        <v>0</v>
      </c>
      <c r="L32" s="20" t="n">
        <v>0</v>
      </c>
      <c r="M32" s="21" t="n">
        <f aca="false">SUM(I32:L32)</f>
        <v>100000</v>
      </c>
      <c r="N32" s="20" t="n">
        <v>445000</v>
      </c>
      <c r="O32" s="20" t="n">
        <v>154000</v>
      </c>
      <c r="P32" s="21" t="n">
        <f aca="false">F32-M32</f>
        <v>755000</v>
      </c>
    </row>
    <row r="33" customFormat="false" ht="15" hidden="false" customHeight="true" outlineLevel="0" collapsed="false">
      <c r="A33" s="17" t="s">
        <v>95</v>
      </c>
      <c r="B33" s="18" t="s">
        <v>73</v>
      </c>
      <c r="C33" s="18" t="s">
        <v>55</v>
      </c>
      <c r="D33" s="18"/>
      <c r="E33" s="22" t="s">
        <v>12</v>
      </c>
      <c r="F33" s="20" t="n">
        <v>691000</v>
      </c>
      <c r="G33" s="20" t="n">
        <v>100000</v>
      </c>
      <c r="H33" s="20" t="n">
        <v>591000</v>
      </c>
      <c r="I33" s="20" t="n">
        <v>100000</v>
      </c>
      <c r="J33" s="20" t="n">
        <v>0</v>
      </c>
      <c r="K33" s="20" t="n">
        <v>0</v>
      </c>
      <c r="L33" s="20" t="n">
        <v>0</v>
      </c>
      <c r="M33" s="21" t="n">
        <f aca="false">SUM(I33:L33)</f>
        <v>100000</v>
      </c>
      <c r="N33" s="20" t="n">
        <v>291000</v>
      </c>
      <c r="O33" s="20" t="n">
        <v>0</v>
      </c>
      <c r="P33" s="21" t="n">
        <f aca="false">F33-M33</f>
        <v>591000</v>
      </c>
    </row>
    <row r="34" customFormat="false" ht="15" hidden="false" customHeight="true" outlineLevel="0" collapsed="false">
      <c r="A34" s="17" t="s">
        <v>96</v>
      </c>
      <c r="B34" s="18" t="s">
        <v>64</v>
      </c>
      <c r="C34" s="18" t="s">
        <v>65</v>
      </c>
      <c r="D34" s="18"/>
      <c r="E34" s="22" t="s">
        <v>12</v>
      </c>
      <c r="F34" s="20" t="n">
        <v>660000</v>
      </c>
      <c r="G34" s="20" t="n">
        <v>200000</v>
      </c>
      <c r="H34" s="20" t="n">
        <v>460000</v>
      </c>
      <c r="I34" s="20" t="n">
        <v>100000</v>
      </c>
      <c r="J34" s="20" t="n">
        <v>0</v>
      </c>
      <c r="K34" s="20" t="n">
        <v>0</v>
      </c>
      <c r="L34" s="20" t="n">
        <v>0</v>
      </c>
      <c r="M34" s="21" t="n">
        <f aca="false">SUM(I34:L34)</f>
        <v>100000</v>
      </c>
      <c r="N34" s="20" t="n">
        <v>260000</v>
      </c>
      <c r="O34" s="20" t="n">
        <v>0</v>
      </c>
      <c r="P34" s="21" t="n">
        <f aca="false">F34-M34</f>
        <v>560000</v>
      </c>
    </row>
    <row r="35" customFormat="false" ht="15" hidden="false" customHeight="true" outlineLevel="0" collapsed="false">
      <c r="A35" s="17" t="s">
        <v>97</v>
      </c>
      <c r="B35" s="18" t="s">
        <v>61</v>
      </c>
      <c r="C35" s="18" t="s">
        <v>59</v>
      </c>
      <c r="D35" s="18"/>
      <c r="E35" s="22" t="s">
        <v>12</v>
      </c>
      <c r="F35" s="20" t="n">
        <v>611700</v>
      </c>
      <c r="G35" s="20" t="n">
        <v>100000</v>
      </c>
      <c r="H35" s="20" t="n">
        <v>511700</v>
      </c>
      <c r="I35" s="20" t="n">
        <v>100000</v>
      </c>
      <c r="J35" s="20" t="n">
        <v>0</v>
      </c>
      <c r="K35" s="20" t="n">
        <v>0</v>
      </c>
      <c r="L35" s="20" t="n">
        <v>0</v>
      </c>
      <c r="M35" s="21" t="n">
        <f aca="false">SUM(I35:L35)</f>
        <v>100000</v>
      </c>
      <c r="N35" s="20" t="n">
        <v>201700</v>
      </c>
      <c r="O35" s="20" t="n">
        <v>0</v>
      </c>
      <c r="P35" s="21" t="n">
        <f aca="false">F35-M35</f>
        <v>511700</v>
      </c>
    </row>
    <row r="36" customFormat="false" ht="15" hidden="false" customHeight="true" outlineLevel="0" collapsed="false">
      <c r="A36" s="17" t="s">
        <v>98</v>
      </c>
      <c r="B36" s="18" t="s">
        <v>61</v>
      </c>
      <c r="C36" s="18" t="s">
        <v>59</v>
      </c>
      <c r="D36" s="18"/>
      <c r="E36" s="22" t="s">
        <v>12</v>
      </c>
      <c r="F36" s="20" t="n">
        <v>581700</v>
      </c>
      <c r="G36" s="20" t="n">
        <v>70000</v>
      </c>
      <c r="H36" s="20" t="n">
        <v>511700</v>
      </c>
      <c r="I36" s="20" t="n">
        <v>70000</v>
      </c>
      <c r="J36" s="20" t="n">
        <v>0</v>
      </c>
      <c r="K36" s="20" t="n">
        <v>0</v>
      </c>
      <c r="L36" s="20" t="n">
        <v>0</v>
      </c>
      <c r="M36" s="21" t="n">
        <f aca="false">SUM(I36:L36)</f>
        <v>70000</v>
      </c>
      <c r="N36" s="20" t="n">
        <v>201700</v>
      </c>
      <c r="O36" s="20" t="n">
        <v>0</v>
      </c>
      <c r="P36" s="21" t="n">
        <f aca="false">F36-M36</f>
        <v>511700</v>
      </c>
    </row>
    <row r="37" customFormat="false" ht="15" hidden="false" customHeight="true" outlineLevel="0" collapsed="false">
      <c r="A37" s="17" t="s">
        <v>99</v>
      </c>
      <c r="B37" s="18" t="s">
        <v>68</v>
      </c>
      <c r="C37" s="18" t="s">
        <v>55</v>
      </c>
      <c r="D37" s="18"/>
      <c r="E37" s="22" t="s">
        <v>12</v>
      </c>
      <c r="F37" s="20" t="n">
        <v>556000</v>
      </c>
      <c r="G37" s="20" t="n">
        <v>45000</v>
      </c>
      <c r="H37" s="20" t="n">
        <v>511000</v>
      </c>
      <c r="I37" s="20" t="n">
        <v>45000</v>
      </c>
      <c r="J37" s="20" t="n">
        <v>0</v>
      </c>
      <c r="K37" s="20" t="n">
        <v>0</v>
      </c>
      <c r="L37" s="20" t="n">
        <v>0</v>
      </c>
      <c r="M37" s="21" t="n">
        <f aca="false">SUM(I37:L37)</f>
        <v>45000</v>
      </c>
      <c r="N37" s="20" t="n">
        <v>201000</v>
      </c>
      <c r="O37" s="20" t="n">
        <v>100000</v>
      </c>
      <c r="P37" s="21" t="n">
        <f aca="false">F37-M37</f>
        <v>511000</v>
      </c>
    </row>
    <row r="38" customFormat="false" ht="15" hidden="false" customHeight="true" outlineLevel="0" collapsed="false">
      <c r="A38" s="17" t="s">
        <v>100</v>
      </c>
      <c r="B38" s="18" t="s">
        <v>54</v>
      </c>
      <c r="C38" s="18" t="s">
        <v>55</v>
      </c>
      <c r="D38" s="18"/>
      <c r="E38" s="22" t="s">
        <v>12</v>
      </c>
      <c r="F38" s="20" t="n">
        <v>576000</v>
      </c>
      <c r="G38" s="20" t="n">
        <v>75000</v>
      </c>
      <c r="H38" s="20" t="n">
        <v>501000</v>
      </c>
      <c r="I38" s="20" t="n">
        <v>75000</v>
      </c>
      <c r="J38" s="20" t="n">
        <v>0</v>
      </c>
      <c r="K38" s="20" t="n">
        <v>0</v>
      </c>
      <c r="L38" s="20" t="n">
        <v>0</v>
      </c>
      <c r="M38" s="21" t="n">
        <f aca="false">SUM(I38:L38)</f>
        <v>75000</v>
      </c>
      <c r="N38" s="20" t="n">
        <v>641000</v>
      </c>
      <c r="O38" s="20" t="n">
        <v>130000</v>
      </c>
      <c r="P38" s="21" t="n">
        <f aca="false">F38-M38</f>
        <v>501000</v>
      </c>
    </row>
    <row r="39" customFormat="false" ht="15" hidden="false" customHeight="true" outlineLevel="0" collapsed="false">
      <c r="A39" s="17" t="s">
        <v>101</v>
      </c>
      <c r="B39" s="18" t="s">
        <v>64</v>
      </c>
      <c r="C39" s="18" t="s">
        <v>65</v>
      </c>
      <c r="D39" s="18"/>
      <c r="E39" s="22" t="s">
        <v>12</v>
      </c>
      <c r="F39" s="20" t="n">
        <v>636200</v>
      </c>
      <c r="G39" s="20" t="n">
        <v>145000</v>
      </c>
      <c r="H39" s="20" t="n">
        <v>491200</v>
      </c>
      <c r="I39" s="20" t="n">
        <v>145000</v>
      </c>
      <c r="J39" s="20" t="n">
        <v>0</v>
      </c>
      <c r="K39" s="20" t="n">
        <v>0</v>
      </c>
      <c r="L39" s="20" t="n">
        <v>0</v>
      </c>
      <c r="M39" s="21" t="n">
        <f aca="false">SUM(I39:L39)</f>
        <v>145000</v>
      </c>
      <c r="N39" s="20" t="n">
        <v>1191200</v>
      </c>
      <c r="O39" s="20" t="n">
        <v>0</v>
      </c>
      <c r="P39" s="21" t="n">
        <f aca="false">F39-M39</f>
        <v>491200</v>
      </c>
    </row>
    <row r="40" customFormat="false" ht="15" hidden="false" customHeight="true" outlineLevel="0" collapsed="false">
      <c r="A40" s="17" t="s">
        <v>102</v>
      </c>
      <c r="B40" s="18" t="s">
        <v>73</v>
      </c>
      <c r="C40" s="18" t="s">
        <v>55</v>
      </c>
      <c r="D40" s="18"/>
      <c r="E40" s="22" t="s">
        <v>12</v>
      </c>
      <c r="F40" s="20" t="n">
        <v>591000</v>
      </c>
      <c r="G40" s="20" t="n">
        <v>100000</v>
      </c>
      <c r="H40" s="20" t="n">
        <v>491000</v>
      </c>
      <c r="I40" s="20" t="n">
        <v>100000</v>
      </c>
      <c r="J40" s="20" t="n">
        <v>0</v>
      </c>
      <c r="K40" s="20" t="n">
        <v>0</v>
      </c>
      <c r="L40" s="20" t="n">
        <v>0</v>
      </c>
      <c r="M40" s="21" t="n">
        <f aca="false">SUM(I40:L40)</f>
        <v>100000</v>
      </c>
      <c r="N40" s="20" t="n">
        <v>2200000</v>
      </c>
      <c r="O40" s="20" t="n">
        <v>0</v>
      </c>
      <c r="P40" s="21" t="n">
        <f aca="false">F40-M40</f>
        <v>491000</v>
      </c>
    </row>
    <row r="41" customFormat="false" ht="15" hidden="false" customHeight="true" outlineLevel="0" collapsed="false">
      <c r="A41" s="17" t="s">
        <v>103</v>
      </c>
      <c r="B41" s="18" t="s">
        <v>68</v>
      </c>
      <c r="C41" s="18" t="s">
        <v>55</v>
      </c>
      <c r="D41" s="18"/>
      <c r="E41" s="22" t="s">
        <v>12</v>
      </c>
      <c r="F41" s="20" t="n">
        <v>591000</v>
      </c>
      <c r="G41" s="20" t="n">
        <v>100000</v>
      </c>
      <c r="H41" s="20" t="n">
        <v>491000</v>
      </c>
      <c r="I41" s="20" t="n">
        <v>100000</v>
      </c>
      <c r="J41" s="20" t="n">
        <v>0</v>
      </c>
      <c r="K41" s="20" t="n">
        <v>0</v>
      </c>
      <c r="L41" s="20" t="n">
        <v>0</v>
      </c>
      <c r="M41" s="21" t="n">
        <f aca="false">SUM(I41:L41)</f>
        <v>100000</v>
      </c>
      <c r="N41" s="20" t="n">
        <v>191000</v>
      </c>
      <c r="O41" s="20" t="n">
        <v>0</v>
      </c>
      <c r="P41" s="21" t="n">
        <f aca="false">F41-M41</f>
        <v>491000</v>
      </c>
    </row>
    <row r="42" customFormat="false" ht="15" hidden="false" customHeight="true" outlineLevel="0" collapsed="false">
      <c r="A42" s="17" t="s">
        <v>104</v>
      </c>
      <c r="B42" s="18" t="s">
        <v>54</v>
      </c>
      <c r="C42" s="18" t="s">
        <v>55</v>
      </c>
      <c r="D42" s="18"/>
      <c r="E42" s="22" t="s">
        <v>12</v>
      </c>
      <c r="F42" s="20" t="n">
        <v>491000</v>
      </c>
      <c r="G42" s="20" t="n">
        <v>0</v>
      </c>
      <c r="H42" s="20" t="n">
        <v>491000</v>
      </c>
      <c r="I42" s="20" t="n">
        <v>0</v>
      </c>
      <c r="J42" s="20" t="n">
        <v>0</v>
      </c>
      <c r="K42" s="20" t="n">
        <v>0</v>
      </c>
      <c r="L42" s="20" t="n">
        <v>10000</v>
      </c>
      <c r="M42" s="21" t="n">
        <f aca="false">SUM(I42:L42)</f>
        <v>10000</v>
      </c>
      <c r="N42" s="20" t="n">
        <v>191000</v>
      </c>
      <c r="O42" s="20" t="n">
        <v>0</v>
      </c>
      <c r="P42" s="21" t="n">
        <f aca="false">F42-M42</f>
        <v>481000</v>
      </c>
    </row>
    <row r="43" customFormat="false" ht="15" hidden="false" customHeight="true" outlineLevel="0" collapsed="false">
      <c r="A43" s="17" t="s">
        <v>105</v>
      </c>
      <c r="B43" s="18" t="s">
        <v>70</v>
      </c>
      <c r="C43" s="18" t="s">
        <v>52</v>
      </c>
      <c r="D43" s="18"/>
      <c r="E43" s="22" t="s">
        <v>12</v>
      </c>
      <c r="F43" s="20" t="n">
        <v>580000</v>
      </c>
      <c r="G43" s="20" t="n">
        <v>100000</v>
      </c>
      <c r="H43" s="20" t="n">
        <v>480000</v>
      </c>
      <c r="I43" s="20" t="n">
        <v>100000</v>
      </c>
      <c r="J43" s="20" t="n">
        <v>0</v>
      </c>
      <c r="K43" s="20" t="n">
        <v>0</v>
      </c>
      <c r="L43" s="20" t="n">
        <v>0</v>
      </c>
      <c r="M43" s="21" t="n">
        <f aca="false">SUM(I43:L43)</f>
        <v>100000</v>
      </c>
      <c r="N43" s="20" t="n">
        <v>820000</v>
      </c>
      <c r="O43" s="20" t="n">
        <v>0</v>
      </c>
      <c r="P43" s="21" t="n">
        <f aca="false">F43-M43</f>
        <v>480000</v>
      </c>
    </row>
    <row r="44" customFormat="false" ht="15" hidden="false" customHeight="true" outlineLevel="0" collapsed="false">
      <c r="A44" s="17" t="s">
        <v>106</v>
      </c>
      <c r="B44" s="18" t="s">
        <v>70</v>
      </c>
      <c r="C44" s="18" t="s">
        <v>52</v>
      </c>
      <c r="D44" s="18"/>
      <c r="E44" s="22" t="s">
        <v>12</v>
      </c>
      <c r="F44" s="20" t="n">
        <v>580000</v>
      </c>
      <c r="G44" s="20" t="n">
        <v>100000</v>
      </c>
      <c r="H44" s="20" t="n">
        <v>480000</v>
      </c>
      <c r="I44" s="20" t="n">
        <v>100000</v>
      </c>
      <c r="J44" s="20" t="n">
        <v>0</v>
      </c>
      <c r="K44" s="20" t="n">
        <v>0</v>
      </c>
      <c r="L44" s="20" t="n">
        <v>0</v>
      </c>
      <c r="M44" s="21" t="n">
        <f aca="false">SUM(I44:L44)</f>
        <v>100000</v>
      </c>
      <c r="N44" s="20" t="n">
        <v>0</v>
      </c>
      <c r="O44" s="20" t="n">
        <v>0</v>
      </c>
      <c r="P44" s="21" t="n">
        <f aca="false">F44-M44</f>
        <v>480000</v>
      </c>
    </row>
    <row r="45" customFormat="false" ht="15" hidden="false" customHeight="true" outlineLevel="0" collapsed="false">
      <c r="A45" s="17" t="s">
        <v>107</v>
      </c>
      <c r="B45" s="18" t="s">
        <v>61</v>
      </c>
      <c r="C45" s="18" t="s">
        <v>59</v>
      </c>
      <c r="D45" s="18"/>
      <c r="E45" s="22" t="s">
        <v>12</v>
      </c>
      <c r="F45" s="20" t="n">
        <v>578000</v>
      </c>
      <c r="G45" s="20" t="n">
        <v>100000</v>
      </c>
      <c r="H45" s="20" t="n">
        <v>478000</v>
      </c>
      <c r="I45" s="20" t="n">
        <v>100000</v>
      </c>
      <c r="J45" s="20" t="n">
        <v>0</v>
      </c>
      <c r="K45" s="20" t="n">
        <v>0</v>
      </c>
      <c r="L45" s="20" t="n">
        <v>0</v>
      </c>
      <c r="M45" s="21" t="n">
        <f aca="false">SUM(I45:L45)</f>
        <v>100000</v>
      </c>
      <c r="N45" s="20" t="n">
        <v>503000</v>
      </c>
      <c r="O45" s="20" t="n">
        <v>0</v>
      </c>
      <c r="P45" s="21" t="n">
        <f aca="false">F45-M45</f>
        <v>478000</v>
      </c>
    </row>
    <row r="46" customFormat="false" ht="15" hidden="false" customHeight="true" outlineLevel="0" collapsed="false">
      <c r="A46" s="17" t="s">
        <v>108</v>
      </c>
      <c r="B46" s="18" t="s">
        <v>54</v>
      </c>
      <c r="C46" s="18" t="s">
        <v>55</v>
      </c>
      <c r="D46" s="18"/>
      <c r="E46" s="22" t="s">
        <v>12</v>
      </c>
      <c r="F46" s="20" t="n">
        <v>548000</v>
      </c>
      <c r="G46" s="20" t="n">
        <v>75000</v>
      </c>
      <c r="H46" s="20" t="n">
        <v>473000</v>
      </c>
      <c r="I46" s="20" t="n">
        <v>75000</v>
      </c>
      <c r="J46" s="20" t="n">
        <v>0</v>
      </c>
      <c r="K46" s="20" t="n">
        <v>0</v>
      </c>
      <c r="L46" s="20" t="n">
        <v>0</v>
      </c>
      <c r="M46" s="21" t="n">
        <f aca="false">SUM(I46:L46)</f>
        <v>75000</v>
      </c>
      <c r="N46" s="20" t="n">
        <v>173000</v>
      </c>
      <c r="O46" s="20" t="n">
        <v>0</v>
      </c>
      <c r="P46" s="21" t="n">
        <f aca="false">F46-M46</f>
        <v>473000</v>
      </c>
    </row>
    <row r="47" customFormat="false" ht="15" hidden="false" customHeight="true" outlineLevel="0" collapsed="false">
      <c r="A47" s="17" t="s">
        <v>109</v>
      </c>
      <c r="B47" s="18" t="s">
        <v>70</v>
      </c>
      <c r="C47" s="18" t="s">
        <v>52</v>
      </c>
      <c r="D47" s="18"/>
      <c r="E47" s="22" t="s">
        <v>12</v>
      </c>
      <c r="F47" s="20" t="n">
        <v>570000</v>
      </c>
      <c r="G47" s="20" t="n">
        <v>100000</v>
      </c>
      <c r="H47" s="20" t="n">
        <v>470000</v>
      </c>
      <c r="I47" s="20" t="n">
        <v>100000</v>
      </c>
      <c r="J47" s="20" t="n">
        <v>0</v>
      </c>
      <c r="K47" s="20" t="n">
        <v>0</v>
      </c>
      <c r="L47" s="20" t="n">
        <v>0</v>
      </c>
      <c r="M47" s="21" t="n">
        <f aca="false">SUM(I47:L47)</f>
        <v>100000</v>
      </c>
      <c r="N47" s="20" t="n">
        <v>500700</v>
      </c>
      <c r="O47" s="20" t="n">
        <v>0</v>
      </c>
      <c r="P47" s="21" t="n">
        <f aca="false">F47-M47</f>
        <v>470000</v>
      </c>
    </row>
    <row r="48" customFormat="false" ht="15" hidden="false" customHeight="true" outlineLevel="0" collapsed="false">
      <c r="A48" s="17" t="s">
        <v>110</v>
      </c>
      <c r="B48" s="18" t="s">
        <v>73</v>
      </c>
      <c r="C48" s="18" t="s">
        <v>55</v>
      </c>
      <c r="D48" s="18"/>
      <c r="E48" s="22" t="s">
        <v>12</v>
      </c>
      <c r="F48" s="20" t="n">
        <v>661000</v>
      </c>
      <c r="G48" s="20" t="n">
        <v>170000</v>
      </c>
      <c r="H48" s="20" t="n">
        <v>491000</v>
      </c>
      <c r="I48" s="20" t="n">
        <v>0</v>
      </c>
      <c r="J48" s="20" t="n">
        <v>191000</v>
      </c>
      <c r="K48" s="20" t="n">
        <v>0</v>
      </c>
      <c r="L48" s="20" t="n">
        <v>0</v>
      </c>
      <c r="M48" s="21" t="n">
        <f aca="false">SUM(I48:L48)</f>
        <v>191000</v>
      </c>
      <c r="N48" s="20" t="n">
        <v>70000</v>
      </c>
      <c r="O48" s="20" t="n">
        <v>0</v>
      </c>
      <c r="P48" s="21" t="n">
        <f aca="false">F48-M48</f>
        <v>470000</v>
      </c>
    </row>
    <row r="49" customFormat="false" ht="15" hidden="false" customHeight="true" outlineLevel="0" collapsed="false">
      <c r="A49" s="17" t="s">
        <v>111</v>
      </c>
      <c r="B49" s="18" t="s">
        <v>51</v>
      </c>
      <c r="C49" s="18" t="s">
        <v>52</v>
      </c>
      <c r="D49" s="18"/>
      <c r="E49" s="22" t="s">
        <v>12</v>
      </c>
      <c r="F49" s="20" t="n">
        <v>570000</v>
      </c>
      <c r="G49" s="20" t="n">
        <v>100000</v>
      </c>
      <c r="H49" s="20" t="n">
        <v>470000</v>
      </c>
      <c r="I49" s="20" t="n">
        <v>100000</v>
      </c>
      <c r="J49" s="20" t="n">
        <v>0</v>
      </c>
      <c r="K49" s="20" t="n">
        <v>0</v>
      </c>
      <c r="L49" s="20" t="n">
        <v>0</v>
      </c>
      <c r="M49" s="21" t="n">
        <f aca="false">SUM(I49:L49)</f>
        <v>100000</v>
      </c>
      <c r="N49" s="20" t="n">
        <v>375000</v>
      </c>
      <c r="O49" s="20" t="n">
        <v>0</v>
      </c>
      <c r="P49" s="21" t="n">
        <f aca="false">F49-M49</f>
        <v>470000</v>
      </c>
    </row>
    <row r="50" customFormat="false" ht="15" hidden="false" customHeight="true" outlineLevel="0" collapsed="false">
      <c r="A50" s="17" t="s">
        <v>112</v>
      </c>
      <c r="B50" s="18" t="s">
        <v>58</v>
      </c>
      <c r="C50" s="18" t="s">
        <v>59</v>
      </c>
      <c r="D50" s="18"/>
      <c r="E50" s="22" t="s">
        <v>12</v>
      </c>
      <c r="F50" s="20" t="n">
        <v>610000</v>
      </c>
      <c r="G50" s="20" t="n">
        <v>140000</v>
      </c>
      <c r="H50" s="20" t="n">
        <v>470000</v>
      </c>
      <c r="I50" s="20" t="n">
        <v>140000</v>
      </c>
      <c r="J50" s="20" t="n">
        <v>0</v>
      </c>
      <c r="K50" s="20" t="n">
        <v>0</v>
      </c>
      <c r="L50" s="20" t="n">
        <v>0</v>
      </c>
      <c r="M50" s="21" t="n">
        <f aca="false">SUM(I50:L50)</f>
        <v>140000</v>
      </c>
      <c r="N50" s="20" t="n">
        <v>170000</v>
      </c>
      <c r="O50" s="20" t="n">
        <v>0</v>
      </c>
      <c r="P50" s="21" t="n">
        <f aca="false">F50-M50</f>
        <v>470000</v>
      </c>
    </row>
    <row r="51" customFormat="false" ht="15" hidden="false" customHeight="true" outlineLevel="0" collapsed="false">
      <c r="A51" s="17" t="s">
        <v>113</v>
      </c>
      <c r="B51" s="18" t="s">
        <v>51</v>
      </c>
      <c r="C51" s="18" t="s">
        <v>52</v>
      </c>
      <c r="D51" s="18"/>
      <c r="E51" s="22" t="s">
        <v>12</v>
      </c>
      <c r="F51" s="20" t="n">
        <v>570000</v>
      </c>
      <c r="G51" s="20" t="n">
        <v>100000</v>
      </c>
      <c r="H51" s="20" t="n">
        <v>470000</v>
      </c>
      <c r="I51" s="20" t="n">
        <v>100000</v>
      </c>
      <c r="J51" s="20" t="n">
        <v>0</v>
      </c>
      <c r="K51" s="20" t="n">
        <v>0</v>
      </c>
      <c r="L51" s="20" t="n">
        <v>0</v>
      </c>
      <c r="M51" s="21" t="n">
        <f aca="false">SUM(I51:L51)</f>
        <v>100000</v>
      </c>
      <c r="N51" s="20" t="n">
        <v>0</v>
      </c>
      <c r="O51" s="20" t="n">
        <v>0</v>
      </c>
      <c r="P51" s="21" t="n">
        <f aca="false">F51-M51</f>
        <v>470000</v>
      </c>
    </row>
    <row r="52" customFormat="false" ht="15" hidden="false" customHeight="true" outlineLevel="0" collapsed="false">
      <c r="A52" s="17" t="s">
        <v>114</v>
      </c>
      <c r="B52" s="18" t="s">
        <v>51</v>
      </c>
      <c r="C52" s="18" t="s">
        <v>52</v>
      </c>
      <c r="D52" s="18"/>
      <c r="E52" s="22" t="s">
        <v>12</v>
      </c>
      <c r="F52" s="20" t="n">
        <v>460000</v>
      </c>
      <c r="G52" s="20" t="n">
        <v>0</v>
      </c>
      <c r="H52" s="20" t="n">
        <v>460000</v>
      </c>
      <c r="I52" s="20" t="n">
        <v>0</v>
      </c>
      <c r="J52" s="20" t="n">
        <v>0</v>
      </c>
      <c r="K52" s="20" t="n">
        <v>0</v>
      </c>
      <c r="L52" s="20" t="n">
        <v>10000</v>
      </c>
      <c r="M52" s="21" t="n">
        <f aca="false">SUM(I52:L52)</f>
        <v>10000</v>
      </c>
      <c r="N52" s="20" t="n">
        <v>160000</v>
      </c>
      <c r="O52" s="20" t="n">
        <v>0</v>
      </c>
      <c r="P52" s="21" t="n">
        <f aca="false">F52-M52</f>
        <v>450000</v>
      </c>
    </row>
    <row r="53" customFormat="false" ht="15" hidden="false" customHeight="true" outlineLevel="0" collapsed="false">
      <c r="A53" s="17" t="s">
        <v>115</v>
      </c>
      <c r="B53" s="18" t="s">
        <v>64</v>
      </c>
      <c r="C53" s="18" t="s">
        <v>65</v>
      </c>
      <c r="D53" s="18"/>
      <c r="E53" s="22" t="s">
        <v>12</v>
      </c>
      <c r="F53" s="20" t="n">
        <v>591200</v>
      </c>
      <c r="G53" s="20" t="n">
        <v>100000</v>
      </c>
      <c r="H53" s="20" t="n">
        <v>491200</v>
      </c>
      <c r="I53" s="20" t="n">
        <v>0</v>
      </c>
      <c r="J53" s="20" t="n">
        <v>191200</v>
      </c>
      <c r="K53" s="20" t="n">
        <v>0</v>
      </c>
      <c r="L53" s="20" t="n">
        <v>0</v>
      </c>
      <c r="M53" s="21" t="n">
        <f aca="false">SUM(I53:L53)</f>
        <v>191200</v>
      </c>
      <c r="N53" s="20" t="n">
        <v>1100000</v>
      </c>
      <c r="O53" s="20" t="n">
        <v>0</v>
      </c>
      <c r="P53" s="21" t="n">
        <f aca="false">F53-M53</f>
        <v>400000</v>
      </c>
    </row>
    <row r="54" customFormat="false" ht="15" hidden="false" customHeight="true" outlineLevel="0" collapsed="false">
      <c r="A54" s="17" t="s">
        <v>116</v>
      </c>
      <c r="B54" s="18" t="s">
        <v>61</v>
      </c>
      <c r="C54" s="18" t="s">
        <v>59</v>
      </c>
      <c r="D54" s="18"/>
      <c r="E54" s="22" t="s">
        <v>12</v>
      </c>
      <c r="F54" s="20" t="n">
        <v>670000</v>
      </c>
      <c r="G54" s="20" t="n">
        <v>200000</v>
      </c>
      <c r="H54" s="20" t="n">
        <v>470000</v>
      </c>
      <c r="I54" s="20" t="n">
        <v>100000</v>
      </c>
      <c r="J54" s="20" t="n">
        <v>170000</v>
      </c>
      <c r="K54" s="20" t="n">
        <v>0</v>
      </c>
      <c r="L54" s="20" t="n">
        <v>0</v>
      </c>
      <c r="M54" s="21" t="n">
        <f aca="false">SUM(I54:L54)</f>
        <v>270000</v>
      </c>
      <c r="N54" s="20" t="n">
        <v>0</v>
      </c>
      <c r="O54" s="20" t="n">
        <v>0</v>
      </c>
      <c r="P54" s="21" t="n">
        <f aca="false">F54-M54</f>
        <v>400000</v>
      </c>
    </row>
    <row r="55" customFormat="false" ht="15" hidden="false" customHeight="true" outlineLevel="0" collapsed="false">
      <c r="A55" s="17" t="s">
        <v>117</v>
      </c>
      <c r="B55" s="18" t="s">
        <v>54</v>
      </c>
      <c r="C55" s="18" t="s">
        <v>55</v>
      </c>
      <c r="D55" s="18"/>
      <c r="E55" s="22" t="s">
        <v>12</v>
      </c>
      <c r="F55" s="20" t="n">
        <v>591000</v>
      </c>
      <c r="G55" s="20" t="n">
        <v>100000</v>
      </c>
      <c r="H55" s="20" t="n">
        <v>491000</v>
      </c>
      <c r="I55" s="20" t="n">
        <v>0</v>
      </c>
      <c r="J55" s="20" t="n">
        <v>191000</v>
      </c>
      <c r="K55" s="20" t="n">
        <v>0</v>
      </c>
      <c r="L55" s="20" t="n">
        <v>0</v>
      </c>
      <c r="M55" s="21" t="n">
        <f aca="false">SUM(I55:L55)</f>
        <v>191000</v>
      </c>
      <c r="N55" s="20" t="n">
        <v>760000</v>
      </c>
      <c r="O55" s="20" t="n">
        <v>0</v>
      </c>
      <c r="P55" s="21" t="n">
        <f aca="false">F55-M55</f>
        <v>400000</v>
      </c>
    </row>
    <row r="56" customFormat="false" ht="15" hidden="false" customHeight="true" outlineLevel="0" collapsed="false">
      <c r="A56" s="17" t="s">
        <v>118</v>
      </c>
      <c r="B56" s="18" t="s">
        <v>61</v>
      </c>
      <c r="C56" s="18" t="s">
        <v>59</v>
      </c>
      <c r="D56" s="18"/>
      <c r="E56" s="22" t="s">
        <v>12</v>
      </c>
      <c r="F56" s="20" t="n">
        <v>558700</v>
      </c>
      <c r="G56" s="20" t="n">
        <v>75000</v>
      </c>
      <c r="H56" s="20" t="n">
        <v>483700</v>
      </c>
      <c r="I56" s="20" t="n">
        <v>0</v>
      </c>
      <c r="J56" s="20" t="n">
        <v>183700</v>
      </c>
      <c r="K56" s="20" t="n">
        <v>0</v>
      </c>
      <c r="L56" s="20" t="n">
        <v>0</v>
      </c>
      <c r="M56" s="21" t="n">
        <f aca="false">SUM(I56:L56)</f>
        <v>183700</v>
      </c>
      <c r="N56" s="20" t="n">
        <v>75000</v>
      </c>
      <c r="O56" s="20" t="n">
        <v>30000</v>
      </c>
      <c r="P56" s="21" t="n">
        <f aca="false">F56-M56</f>
        <v>375000</v>
      </c>
    </row>
    <row r="57" customFormat="false" ht="15" hidden="false" customHeight="true" outlineLevel="0" collapsed="false">
      <c r="A57" s="17" t="s">
        <v>119</v>
      </c>
      <c r="B57" s="18" t="s">
        <v>58</v>
      </c>
      <c r="C57" s="18" t="s">
        <v>59</v>
      </c>
      <c r="D57" s="18"/>
      <c r="E57" s="22" t="s">
        <v>12</v>
      </c>
      <c r="F57" s="20" t="n">
        <v>1338700</v>
      </c>
      <c r="G57" s="20" t="n">
        <v>145000</v>
      </c>
      <c r="H57" s="20" t="n">
        <v>511700</v>
      </c>
      <c r="I57" s="20" t="n">
        <v>100000</v>
      </c>
      <c r="J57" s="20" t="n">
        <v>211700</v>
      </c>
      <c r="K57" s="20" t="n">
        <v>682000</v>
      </c>
      <c r="L57" s="20" t="n">
        <v>0</v>
      </c>
      <c r="M57" s="21" t="n">
        <f aca="false">SUM(I57:L57)</f>
        <v>993700</v>
      </c>
      <c r="N57" s="20" t="n">
        <v>0</v>
      </c>
      <c r="O57" s="20" t="n">
        <v>0</v>
      </c>
      <c r="P57" s="21" t="n">
        <f aca="false">F57-M57</f>
        <v>345000</v>
      </c>
    </row>
    <row r="58" customFormat="false" ht="15" hidden="false" customHeight="true" outlineLevel="0" collapsed="false">
      <c r="A58" s="17" t="s">
        <v>120</v>
      </c>
      <c r="B58" s="18" t="s">
        <v>70</v>
      </c>
      <c r="C58" s="18" t="s">
        <v>52</v>
      </c>
      <c r="D58" s="18"/>
      <c r="E58" s="22" t="s">
        <v>12</v>
      </c>
      <c r="F58" s="20" t="n">
        <v>470000</v>
      </c>
      <c r="G58" s="20" t="n">
        <v>0</v>
      </c>
      <c r="H58" s="20" t="n">
        <v>470000</v>
      </c>
      <c r="I58" s="20" t="n">
        <v>0</v>
      </c>
      <c r="J58" s="20" t="n">
        <v>147000</v>
      </c>
      <c r="K58" s="20" t="n">
        <v>0</v>
      </c>
      <c r="L58" s="20" t="n">
        <v>0</v>
      </c>
      <c r="M58" s="21" t="n">
        <f aca="false">SUM(I58:L58)</f>
        <v>147000</v>
      </c>
      <c r="N58" s="20" t="n">
        <v>0</v>
      </c>
      <c r="O58" s="20" t="n">
        <v>160000</v>
      </c>
      <c r="P58" s="21" t="n">
        <f aca="false">F58-M58</f>
        <v>323000</v>
      </c>
    </row>
    <row r="59" customFormat="false" ht="15" hidden="false" customHeight="true" outlineLevel="0" collapsed="false">
      <c r="A59" s="17" t="s">
        <v>121</v>
      </c>
      <c r="B59" s="18" t="s">
        <v>61</v>
      </c>
      <c r="C59" s="18" t="s">
        <v>59</v>
      </c>
      <c r="D59" s="18"/>
      <c r="E59" s="22" t="s">
        <v>12</v>
      </c>
      <c r="F59" s="20" t="n">
        <v>476000</v>
      </c>
      <c r="G59" s="20" t="n">
        <v>0</v>
      </c>
      <c r="H59" s="20" t="n">
        <v>476000</v>
      </c>
      <c r="I59" s="20" t="n">
        <v>0</v>
      </c>
      <c r="J59" s="20" t="n">
        <v>160000</v>
      </c>
      <c r="K59" s="20" t="n">
        <v>0</v>
      </c>
      <c r="L59" s="20" t="n">
        <v>0</v>
      </c>
      <c r="M59" s="21" t="n">
        <f aca="false">SUM(I59:L59)</f>
        <v>160000</v>
      </c>
      <c r="N59" s="20" t="n">
        <v>0</v>
      </c>
      <c r="O59" s="20" t="n">
        <v>0</v>
      </c>
      <c r="P59" s="21" t="n">
        <f aca="false">F59-M59</f>
        <v>316000</v>
      </c>
    </row>
    <row r="60" customFormat="false" ht="15" hidden="false" customHeight="true" outlineLevel="0" collapsed="false">
      <c r="A60" s="17" t="s">
        <v>122</v>
      </c>
      <c r="B60" s="18" t="s">
        <v>68</v>
      </c>
      <c r="C60" s="18" t="s">
        <v>55</v>
      </c>
      <c r="D60" s="18"/>
      <c r="E60" s="22" t="s">
        <v>12</v>
      </c>
      <c r="F60" s="20" t="n">
        <v>483000</v>
      </c>
      <c r="G60" s="20" t="n">
        <v>0</v>
      </c>
      <c r="H60" s="20" t="n">
        <v>483000</v>
      </c>
      <c r="I60" s="20" t="n">
        <v>0</v>
      </c>
      <c r="J60" s="20" t="n">
        <v>173000</v>
      </c>
      <c r="K60" s="20" t="n">
        <v>0</v>
      </c>
      <c r="L60" s="20" t="n">
        <v>0</v>
      </c>
      <c r="M60" s="21" t="n">
        <f aca="false">SUM(I60:L60)</f>
        <v>173000</v>
      </c>
      <c r="N60" s="20" t="n">
        <v>173000</v>
      </c>
      <c r="O60" s="20" t="n">
        <v>273000</v>
      </c>
      <c r="P60" s="21" t="n">
        <f aca="false">F60-M60</f>
        <v>310000</v>
      </c>
    </row>
    <row r="61" customFormat="false" ht="15" hidden="false" customHeight="true" outlineLevel="0" collapsed="false">
      <c r="A61" s="17" t="s">
        <v>123</v>
      </c>
      <c r="B61" s="18" t="s">
        <v>68</v>
      </c>
      <c r="C61" s="18" t="s">
        <v>55</v>
      </c>
      <c r="D61" s="18"/>
      <c r="E61" s="22" t="s">
        <v>12</v>
      </c>
      <c r="F61" s="20" t="n">
        <v>601000</v>
      </c>
      <c r="G61" s="20" t="n">
        <v>100000</v>
      </c>
      <c r="H61" s="20" t="n">
        <v>501000</v>
      </c>
      <c r="I61" s="20" t="n">
        <v>100000</v>
      </c>
      <c r="J61" s="20" t="n">
        <v>191000</v>
      </c>
      <c r="K61" s="20" t="n">
        <v>0</v>
      </c>
      <c r="L61" s="20" t="n">
        <v>0</v>
      </c>
      <c r="M61" s="21" t="n">
        <f aca="false">SUM(I61:L61)</f>
        <v>291000</v>
      </c>
      <c r="N61" s="20" t="n">
        <v>0</v>
      </c>
      <c r="O61" s="20" t="n">
        <v>0</v>
      </c>
      <c r="P61" s="21" t="n">
        <f aca="false">F61-M61</f>
        <v>310000</v>
      </c>
    </row>
    <row r="62" customFormat="false" ht="15" hidden="false" customHeight="true" outlineLevel="0" collapsed="false">
      <c r="A62" s="17" t="s">
        <v>124</v>
      </c>
      <c r="B62" s="18" t="s">
        <v>68</v>
      </c>
      <c r="C62" s="18" t="s">
        <v>55</v>
      </c>
      <c r="D62" s="18"/>
      <c r="E62" s="22" t="s">
        <v>12</v>
      </c>
      <c r="F62" s="20" t="n">
        <v>601000</v>
      </c>
      <c r="G62" s="20" t="n">
        <v>100000</v>
      </c>
      <c r="H62" s="20" t="n">
        <v>501000</v>
      </c>
      <c r="I62" s="20" t="n">
        <v>100000</v>
      </c>
      <c r="J62" s="20" t="n">
        <v>191000</v>
      </c>
      <c r="K62" s="20" t="n">
        <v>0</v>
      </c>
      <c r="L62" s="20" t="n">
        <v>0</v>
      </c>
      <c r="M62" s="21" t="n">
        <f aca="false">SUM(I62:L62)</f>
        <v>291000</v>
      </c>
      <c r="N62" s="20" t="n">
        <v>0</v>
      </c>
      <c r="O62" s="20" t="n">
        <v>0</v>
      </c>
      <c r="P62" s="21" t="n">
        <f aca="false">F62-M62</f>
        <v>310000</v>
      </c>
    </row>
    <row r="63" customFormat="false" ht="15" hidden="false" customHeight="true" outlineLevel="0" collapsed="false">
      <c r="A63" s="17" t="s">
        <v>125</v>
      </c>
      <c r="B63" s="18" t="s">
        <v>54</v>
      </c>
      <c r="C63" s="18" t="s">
        <v>55</v>
      </c>
      <c r="D63" s="18"/>
      <c r="E63" s="22" t="s">
        <v>12</v>
      </c>
      <c r="F63" s="20" t="n">
        <v>611000</v>
      </c>
      <c r="G63" s="20" t="n">
        <v>100000</v>
      </c>
      <c r="H63" s="20" t="n">
        <v>511000</v>
      </c>
      <c r="I63" s="20" t="n">
        <v>100000</v>
      </c>
      <c r="J63" s="20" t="n">
        <v>201000</v>
      </c>
      <c r="K63" s="20" t="n">
        <v>0</v>
      </c>
      <c r="L63" s="20" t="n">
        <v>0</v>
      </c>
      <c r="M63" s="21" t="n">
        <f aca="false">SUM(I63:L63)</f>
        <v>301000</v>
      </c>
      <c r="N63" s="20" t="n">
        <v>0</v>
      </c>
      <c r="O63" s="20" t="n">
        <v>0</v>
      </c>
      <c r="P63" s="21" t="n">
        <f aca="false">F63-M63</f>
        <v>310000</v>
      </c>
    </row>
    <row r="64" customFormat="false" ht="15" hidden="false" customHeight="true" outlineLevel="0" collapsed="false">
      <c r="A64" s="17" t="s">
        <v>126</v>
      </c>
      <c r="B64" s="18" t="s">
        <v>51</v>
      </c>
      <c r="C64" s="18" t="s">
        <v>52</v>
      </c>
      <c r="D64" s="18"/>
      <c r="E64" s="22" t="s">
        <v>12</v>
      </c>
      <c r="F64" s="20" t="n">
        <v>580000</v>
      </c>
      <c r="G64" s="20" t="n">
        <v>100000</v>
      </c>
      <c r="H64" s="20" t="n">
        <v>480000</v>
      </c>
      <c r="I64" s="20" t="n">
        <v>100000</v>
      </c>
      <c r="J64" s="20" t="n">
        <v>170000</v>
      </c>
      <c r="K64" s="20" t="n">
        <v>0</v>
      </c>
      <c r="L64" s="20" t="n">
        <v>0</v>
      </c>
      <c r="M64" s="21" t="n">
        <f aca="false">SUM(I64:L64)</f>
        <v>270000</v>
      </c>
      <c r="N64" s="20" t="n">
        <v>0</v>
      </c>
      <c r="O64" s="20" t="n">
        <v>0</v>
      </c>
      <c r="P64" s="21" t="n">
        <f aca="false">F64-M64</f>
        <v>310000</v>
      </c>
    </row>
    <row r="65" customFormat="false" ht="15" hidden="false" customHeight="true" outlineLevel="0" collapsed="false">
      <c r="A65" s="17" t="s">
        <v>127</v>
      </c>
      <c r="B65" s="18" t="s">
        <v>68</v>
      </c>
      <c r="C65" s="18" t="s">
        <v>55</v>
      </c>
      <c r="D65" s="18"/>
      <c r="E65" s="22" t="s">
        <v>12</v>
      </c>
      <c r="F65" s="20" t="n">
        <v>683000</v>
      </c>
      <c r="G65" s="20" t="n">
        <v>100000</v>
      </c>
      <c r="H65" s="20" t="n">
        <v>583000</v>
      </c>
      <c r="I65" s="20" t="n">
        <v>100000</v>
      </c>
      <c r="J65" s="20" t="n">
        <v>273000</v>
      </c>
      <c r="K65" s="20" t="n">
        <v>0</v>
      </c>
      <c r="L65" s="20" t="n">
        <v>0</v>
      </c>
      <c r="M65" s="21" t="n">
        <f aca="false">SUM(I65:L65)</f>
        <v>373000</v>
      </c>
      <c r="N65" s="20" t="n">
        <v>0</v>
      </c>
      <c r="O65" s="20" t="n">
        <v>0</v>
      </c>
      <c r="P65" s="21" t="n">
        <f aca="false">F65-M65</f>
        <v>310000</v>
      </c>
    </row>
    <row r="66" customFormat="false" ht="15" hidden="false" customHeight="true" outlineLevel="0" collapsed="false">
      <c r="A66" s="17" t="s">
        <v>128</v>
      </c>
      <c r="B66" s="18" t="s">
        <v>70</v>
      </c>
      <c r="C66" s="18" t="s">
        <v>52</v>
      </c>
      <c r="D66" s="18"/>
      <c r="E66" s="22" t="s">
        <v>12</v>
      </c>
      <c r="F66" s="20" t="n">
        <v>580000</v>
      </c>
      <c r="G66" s="20" t="n">
        <v>100000</v>
      </c>
      <c r="H66" s="20" t="n">
        <v>480000</v>
      </c>
      <c r="I66" s="20" t="n">
        <v>100000</v>
      </c>
      <c r="J66" s="20" t="n">
        <v>170000</v>
      </c>
      <c r="K66" s="20" t="n">
        <v>0</v>
      </c>
      <c r="L66" s="20" t="n">
        <v>0</v>
      </c>
      <c r="M66" s="21" t="n">
        <f aca="false">SUM(I66:L66)</f>
        <v>270000</v>
      </c>
      <c r="N66" s="20" t="n">
        <v>170000</v>
      </c>
      <c r="O66" s="20" t="n">
        <v>0</v>
      </c>
      <c r="P66" s="21" t="n">
        <f aca="false">F66-M66</f>
        <v>310000</v>
      </c>
    </row>
    <row r="67" customFormat="false" ht="15" hidden="false" customHeight="true" outlineLevel="0" collapsed="false">
      <c r="A67" s="17" t="s">
        <v>129</v>
      </c>
      <c r="B67" s="18" t="s">
        <v>61</v>
      </c>
      <c r="C67" s="18" t="s">
        <v>59</v>
      </c>
      <c r="D67" s="18"/>
      <c r="E67" s="22" t="s">
        <v>12</v>
      </c>
      <c r="F67" s="20" t="n">
        <v>511700</v>
      </c>
      <c r="G67" s="20" t="n">
        <v>0</v>
      </c>
      <c r="H67" s="20" t="n">
        <v>511700</v>
      </c>
      <c r="I67" s="20" t="n">
        <v>0</v>
      </c>
      <c r="J67" s="20" t="n">
        <v>201700</v>
      </c>
      <c r="K67" s="20" t="n">
        <v>0</v>
      </c>
      <c r="L67" s="20" t="n">
        <v>0</v>
      </c>
      <c r="M67" s="21" t="n">
        <f aca="false">SUM(I67:L67)</f>
        <v>201700</v>
      </c>
      <c r="N67" s="20" t="n">
        <v>0</v>
      </c>
      <c r="O67" s="20" t="n">
        <v>0</v>
      </c>
      <c r="P67" s="21" t="n">
        <f aca="false">F67-M67</f>
        <v>310000</v>
      </c>
    </row>
    <row r="68" customFormat="false" ht="15" hidden="false" customHeight="true" outlineLevel="0" collapsed="false">
      <c r="A68" s="17" t="s">
        <v>130</v>
      </c>
      <c r="B68" s="18" t="s">
        <v>73</v>
      </c>
      <c r="C68" s="18" t="s">
        <v>55</v>
      </c>
      <c r="D68" s="18"/>
      <c r="E68" s="22" t="s">
        <v>12</v>
      </c>
      <c r="F68" s="20" t="n">
        <v>586000</v>
      </c>
      <c r="G68" s="20" t="n">
        <v>75000</v>
      </c>
      <c r="H68" s="20" t="n">
        <v>511000</v>
      </c>
      <c r="I68" s="20" t="n">
        <v>75000</v>
      </c>
      <c r="J68" s="20" t="n">
        <v>201000</v>
      </c>
      <c r="K68" s="20" t="n">
        <v>0</v>
      </c>
      <c r="L68" s="20" t="n">
        <v>0</v>
      </c>
      <c r="M68" s="21" t="n">
        <f aca="false">SUM(I68:L68)</f>
        <v>276000</v>
      </c>
      <c r="N68" s="20" t="n">
        <v>1881500</v>
      </c>
      <c r="O68" s="20" t="n">
        <v>0</v>
      </c>
      <c r="P68" s="21" t="n">
        <f aca="false">F68-M68</f>
        <v>310000</v>
      </c>
    </row>
    <row r="69" customFormat="false" ht="15" hidden="false" customHeight="true" outlineLevel="0" collapsed="false">
      <c r="A69" s="17" t="s">
        <v>131</v>
      </c>
      <c r="B69" s="18" t="s">
        <v>70</v>
      </c>
      <c r="C69" s="18" t="s">
        <v>52</v>
      </c>
      <c r="D69" s="18"/>
      <c r="E69" s="22" t="s">
        <v>12</v>
      </c>
      <c r="F69" s="20" t="n">
        <v>470000</v>
      </c>
      <c r="G69" s="20" t="n">
        <v>0</v>
      </c>
      <c r="H69" s="20" t="n">
        <v>470000</v>
      </c>
      <c r="I69" s="20" t="n">
        <v>0</v>
      </c>
      <c r="J69" s="20" t="n">
        <v>160000</v>
      </c>
      <c r="K69" s="20" t="n">
        <v>0</v>
      </c>
      <c r="L69" s="20" t="n">
        <v>0</v>
      </c>
      <c r="M69" s="21" t="n">
        <f aca="false">SUM(I69:L69)</f>
        <v>160000</v>
      </c>
      <c r="N69" s="20" t="n">
        <v>0</v>
      </c>
      <c r="O69" s="20" t="n">
        <v>0</v>
      </c>
      <c r="P69" s="21" t="n">
        <f aca="false">F69-M69</f>
        <v>310000</v>
      </c>
    </row>
    <row r="70" customFormat="false" ht="15" hidden="false" customHeight="true" outlineLevel="0" collapsed="false">
      <c r="A70" s="17" t="s">
        <v>132</v>
      </c>
      <c r="B70" s="18" t="s">
        <v>58</v>
      </c>
      <c r="C70" s="18" t="s">
        <v>59</v>
      </c>
      <c r="D70" s="18"/>
      <c r="E70" s="22" t="s">
        <v>12</v>
      </c>
      <c r="F70" s="20" t="n">
        <v>611700</v>
      </c>
      <c r="G70" s="20" t="n">
        <v>100000</v>
      </c>
      <c r="H70" s="20" t="n">
        <v>511700</v>
      </c>
      <c r="I70" s="20" t="n">
        <v>100000</v>
      </c>
      <c r="J70" s="20" t="n">
        <v>211700</v>
      </c>
      <c r="K70" s="20" t="n">
        <v>0</v>
      </c>
      <c r="L70" s="20" t="n">
        <v>0</v>
      </c>
      <c r="M70" s="21" t="n">
        <f aca="false">SUM(I70:L70)</f>
        <v>311700</v>
      </c>
      <c r="N70" s="20" t="n">
        <v>211700</v>
      </c>
      <c r="O70" s="20" t="n">
        <v>0</v>
      </c>
      <c r="P70" s="21" t="n">
        <f aca="false">F70-M70</f>
        <v>300000</v>
      </c>
    </row>
    <row r="71" customFormat="false" ht="15" hidden="false" customHeight="true" outlineLevel="0" collapsed="false">
      <c r="A71" s="17" t="s">
        <v>133</v>
      </c>
      <c r="B71" s="18" t="s">
        <v>54</v>
      </c>
      <c r="C71" s="18" t="s">
        <v>55</v>
      </c>
      <c r="D71" s="18"/>
      <c r="E71" s="22" t="s">
        <v>12</v>
      </c>
      <c r="F71" s="20" t="n">
        <v>591000</v>
      </c>
      <c r="G71" s="20" t="n">
        <v>100000</v>
      </c>
      <c r="H71" s="20" t="n">
        <v>491000</v>
      </c>
      <c r="I71" s="20" t="n">
        <v>100000</v>
      </c>
      <c r="J71" s="20" t="n">
        <v>191000</v>
      </c>
      <c r="K71" s="20" t="n">
        <v>0</v>
      </c>
      <c r="L71" s="20" t="n">
        <v>0</v>
      </c>
      <c r="M71" s="21" t="n">
        <f aca="false">SUM(I71:L71)</f>
        <v>291000</v>
      </c>
      <c r="N71" s="20" t="n">
        <v>0</v>
      </c>
      <c r="O71" s="20" t="n">
        <v>100000</v>
      </c>
      <c r="P71" s="21" t="n">
        <f aca="false">F71-M71</f>
        <v>300000</v>
      </c>
    </row>
    <row r="72" customFormat="false" ht="15" hidden="false" customHeight="true" outlineLevel="0" collapsed="false">
      <c r="A72" s="17" t="s">
        <v>134</v>
      </c>
      <c r="B72" s="18" t="s">
        <v>68</v>
      </c>
      <c r="C72" s="18" t="s">
        <v>55</v>
      </c>
      <c r="D72" s="18"/>
      <c r="E72" s="22" t="s">
        <v>12</v>
      </c>
      <c r="F72" s="20" t="n">
        <v>591000</v>
      </c>
      <c r="G72" s="20" t="n">
        <v>100000</v>
      </c>
      <c r="H72" s="20" t="n">
        <v>491000</v>
      </c>
      <c r="I72" s="20" t="n">
        <v>100000</v>
      </c>
      <c r="J72" s="20" t="n">
        <v>191000</v>
      </c>
      <c r="K72" s="20" t="n">
        <v>0</v>
      </c>
      <c r="L72" s="20" t="n">
        <v>0</v>
      </c>
      <c r="M72" s="21" t="n">
        <f aca="false">SUM(I72:L72)</f>
        <v>291000</v>
      </c>
      <c r="N72" s="20" t="n">
        <v>0</v>
      </c>
      <c r="O72" s="20" t="n">
        <v>0</v>
      </c>
      <c r="P72" s="21" t="n">
        <f aca="false">F72-M72</f>
        <v>300000</v>
      </c>
    </row>
    <row r="73" customFormat="false" ht="15" hidden="false" customHeight="true" outlineLevel="0" collapsed="false">
      <c r="A73" s="17" t="s">
        <v>135</v>
      </c>
      <c r="B73" s="18" t="s">
        <v>70</v>
      </c>
      <c r="C73" s="18" t="s">
        <v>52</v>
      </c>
      <c r="D73" s="18"/>
      <c r="E73" s="22" t="s">
        <v>12</v>
      </c>
      <c r="F73" s="20" t="n">
        <v>570000</v>
      </c>
      <c r="G73" s="20" t="n">
        <v>100000</v>
      </c>
      <c r="H73" s="20" t="n">
        <v>470000</v>
      </c>
      <c r="I73" s="20" t="n">
        <v>100000</v>
      </c>
      <c r="J73" s="20" t="n">
        <v>170000</v>
      </c>
      <c r="K73" s="20" t="n">
        <v>0</v>
      </c>
      <c r="L73" s="20" t="n">
        <v>0</v>
      </c>
      <c r="M73" s="21" t="n">
        <f aca="false">SUM(I73:L73)</f>
        <v>270000</v>
      </c>
      <c r="N73" s="20" t="n">
        <v>0</v>
      </c>
      <c r="O73" s="20" t="n">
        <v>0</v>
      </c>
      <c r="P73" s="21" t="n">
        <f aca="false">F73-M73</f>
        <v>300000</v>
      </c>
    </row>
    <row r="74" customFormat="false" ht="15" hidden="false" customHeight="true" outlineLevel="0" collapsed="false">
      <c r="A74" s="17" t="s">
        <v>136</v>
      </c>
      <c r="B74" s="18" t="s">
        <v>54</v>
      </c>
      <c r="C74" s="18" t="s">
        <v>55</v>
      </c>
      <c r="D74" s="18"/>
      <c r="E74" s="22" t="s">
        <v>12</v>
      </c>
      <c r="F74" s="20" t="n">
        <v>591000</v>
      </c>
      <c r="G74" s="20" t="n">
        <v>100000</v>
      </c>
      <c r="H74" s="20" t="n">
        <v>491000</v>
      </c>
      <c r="I74" s="20" t="n">
        <v>100000</v>
      </c>
      <c r="J74" s="20" t="n">
        <v>191000</v>
      </c>
      <c r="K74" s="20" t="n">
        <v>0</v>
      </c>
      <c r="L74" s="20" t="n">
        <v>0</v>
      </c>
      <c r="M74" s="21" t="n">
        <f aca="false">SUM(I74:L74)</f>
        <v>291000</v>
      </c>
      <c r="N74" s="20" t="n">
        <v>0</v>
      </c>
      <c r="O74" s="20" t="n">
        <v>0</v>
      </c>
      <c r="P74" s="21" t="n">
        <f aca="false">F74-M74</f>
        <v>300000</v>
      </c>
    </row>
    <row r="75" customFormat="false" ht="15" hidden="false" customHeight="true" outlineLevel="0" collapsed="false">
      <c r="A75" s="17" t="s">
        <v>137</v>
      </c>
      <c r="B75" s="18" t="s">
        <v>73</v>
      </c>
      <c r="C75" s="18" t="s">
        <v>55</v>
      </c>
      <c r="D75" s="18"/>
      <c r="E75" s="22" t="s">
        <v>12</v>
      </c>
      <c r="F75" s="20" t="n">
        <v>591000</v>
      </c>
      <c r="G75" s="20" t="n">
        <v>100000</v>
      </c>
      <c r="H75" s="20" t="n">
        <v>491000</v>
      </c>
      <c r="I75" s="20" t="n">
        <v>100000</v>
      </c>
      <c r="J75" s="20" t="n">
        <v>191000</v>
      </c>
      <c r="K75" s="20" t="n">
        <v>0</v>
      </c>
      <c r="L75" s="20" t="n">
        <v>0</v>
      </c>
      <c r="M75" s="21" t="n">
        <f aca="false">SUM(I75:L75)</f>
        <v>291000</v>
      </c>
      <c r="N75" s="20" t="n">
        <v>191000</v>
      </c>
      <c r="O75" s="20" t="n">
        <v>0</v>
      </c>
      <c r="P75" s="21" t="n">
        <f aca="false">F75-M75</f>
        <v>300000</v>
      </c>
    </row>
    <row r="76" customFormat="false" ht="15" hidden="false" customHeight="true" outlineLevel="0" collapsed="false">
      <c r="A76" s="17" t="s">
        <v>138</v>
      </c>
      <c r="B76" s="18" t="s">
        <v>64</v>
      </c>
      <c r="C76" s="18" t="s">
        <v>65</v>
      </c>
      <c r="D76" s="18"/>
      <c r="E76" s="22" t="s">
        <v>12</v>
      </c>
      <c r="F76" s="20" t="n">
        <v>600700</v>
      </c>
      <c r="G76" s="20" t="n">
        <v>100000</v>
      </c>
      <c r="H76" s="20" t="n">
        <v>500700</v>
      </c>
      <c r="I76" s="20" t="n">
        <v>100000</v>
      </c>
      <c r="J76" s="20" t="n">
        <v>200700</v>
      </c>
      <c r="K76" s="20" t="n">
        <v>0</v>
      </c>
      <c r="L76" s="20" t="n">
        <v>0</v>
      </c>
      <c r="M76" s="21" t="n">
        <f aca="false">SUM(I76:L76)</f>
        <v>300700</v>
      </c>
      <c r="N76" s="20" t="n">
        <v>0</v>
      </c>
      <c r="O76" s="20" t="n">
        <v>0</v>
      </c>
      <c r="P76" s="21" t="n">
        <f aca="false">F76-M76</f>
        <v>300000</v>
      </c>
    </row>
    <row r="77" customFormat="false" ht="15" hidden="false" customHeight="true" outlineLevel="0" collapsed="false">
      <c r="A77" s="17" t="s">
        <v>139</v>
      </c>
      <c r="B77" s="18" t="s">
        <v>61</v>
      </c>
      <c r="C77" s="18" t="s">
        <v>59</v>
      </c>
      <c r="D77" s="18"/>
      <c r="E77" s="22" t="s">
        <v>12</v>
      </c>
      <c r="F77" s="20" t="n">
        <v>611700</v>
      </c>
      <c r="G77" s="20" t="n">
        <v>100000</v>
      </c>
      <c r="H77" s="20" t="n">
        <v>511700</v>
      </c>
      <c r="I77" s="20" t="n">
        <v>100000</v>
      </c>
      <c r="J77" s="20" t="n">
        <v>211700</v>
      </c>
      <c r="K77" s="20" t="n">
        <v>0</v>
      </c>
      <c r="L77" s="20" t="n">
        <v>0</v>
      </c>
      <c r="M77" s="21" t="n">
        <f aca="false">SUM(I77:L77)</f>
        <v>311700</v>
      </c>
      <c r="N77" s="20" t="n">
        <v>75000</v>
      </c>
      <c r="O77" s="20" t="n">
        <v>0</v>
      </c>
      <c r="P77" s="21" t="n">
        <f aca="false">F77-M77</f>
        <v>300000</v>
      </c>
    </row>
    <row r="78" customFormat="false" ht="15" hidden="false" customHeight="true" outlineLevel="0" collapsed="false">
      <c r="A78" s="17" t="s">
        <v>140</v>
      </c>
      <c r="B78" s="18" t="s">
        <v>54</v>
      </c>
      <c r="C78" s="18" t="s">
        <v>55</v>
      </c>
      <c r="D78" s="18"/>
      <c r="E78" s="22" t="s">
        <v>12</v>
      </c>
      <c r="F78" s="20" t="n">
        <v>573000</v>
      </c>
      <c r="G78" s="20" t="n">
        <v>100000</v>
      </c>
      <c r="H78" s="20" t="n">
        <v>473000</v>
      </c>
      <c r="I78" s="20" t="n">
        <v>100000</v>
      </c>
      <c r="J78" s="20" t="n">
        <v>173000</v>
      </c>
      <c r="K78" s="20" t="n">
        <v>0</v>
      </c>
      <c r="L78" s="20" t="n">
        <v>0</v>
      </c>
      <c r="M78" s="21" t="n">
        <f aca="false">SUM(I78:L78)</f>
        <v>273000</v>
      </c>
      <c r="N78" s="20" t="n">
        <v>0</v>
      </c>
      <c r="O78" s="20" t="n">
        <v>0</v>
      </c>
      <c r="P78" s="21" t="n">
        <f aca="false">F78-M78</f>
        <v>300000</v>
      </c>
    </row>
    <row r="79" customFormat="false" ht="15" hidden="false" customHeight="true" outlineLevel="0" collapsed="false">
      <c r="A79" s="17" t="s">
        <v>141</v>
      </c>
      <c r="B79" s="18" t="s">
        <v>68</v>
      </c>
      <c r="C79" s="18" t="s">
        <v>55</v>
      </c>
      <c r="D79" s="18"/>
      <c r="E79" s="22" t="s">
        <v>12</v>
      </c>
      <c r="F79" s="20" t="n">
        <v>601000</v>
      </c>
      <c r="G79" s="20" t="n">
        <v>100000</v>
      </c>
      <c r="H79" s="20" t="n">
        <v>501000</v>
      </c>
      <c r="I79" s="20" t="n">
        <v>100000</v>
      </c>
      <c r="J79" s="20" t="n">
        <v>201000</v>
      </c>
      <c r="K79" s="20" t="n">
        <v>0</v>
      </c>
      <c r="L79" s="20" t="n">
        <v>0</v>
      </c>
      <c r="M79" s="21" t="n">
        <f aca="false">SUM(I79:L79)</f>
        <v>301000</v>
      </c>
      <c r="N79" s="20" t="n">
        <v>0</v>
      </c>
      <c r="O79" s="20" t="n">
        <v>100000</v>
      </c>
      <c r="P79" s="21" t="n">
        <f aca="false">F79-M79</f>
        <v>300000</v>
      </c>
    </row>
    <row r="80" customFormat="false" ht="15" hidden="false" customHeight="true" outlineLevel="0" collapsed="false">
      <c r="A80" s="17" t="s">
        <v>142</v>
      </c>
      <c r="B80" s="18" t="s">
        <v>73</v>
      </c>
      <c r="C80" s="18" t="s">
        <v>55</v>
      </c>
      <c r="D80" s="18"/>
      <c r="E80" s="22" t="s">
        <v>12</v>
      </c>
      <c r="F80" s="20" t="n">
        <v>636000</v>
      </c>
      <c r="G80" s="20" t="n">
        <v>145000</v>
      </c>
      <c r="H80" s="20" t="n">
        <v>491000</v>
      </c>
      <c r="I80" s="20" t="n">
        <v>145000</v>
      </c>
      <c r="J80" s="20" t="n">
        <v>191000</v>
      </c>
      <c r="K80" s="20" t="n">
        <v>0</v>
      </c>
      <c r="L80" s="20" t="n">
        <v>0</v>
      </c>
      <c r="M80" s="21" t="n">
        <f aca="false">SUM(I80:L80)</f>
        <v>336000</v>
      </c>
      <c r="N80" s="20" t="n">
        <v>0</v>
      </c>
      <c r="O80" s="20" t="n">
        <v>0</v>
      </c>
      <c r="P80" s="21" t="n">
        <f aca="false">F80-M80</f>
        <v>300000</v>
      </c>
    </row>
    <row r="81" customFormat="false" ht="15" hidden="false" customHeight="true" outlineLevel="0" collapsed="false">
      <c r="A81" s="17" t="s">
        <v>143</v>
      </c>
      <c r="B81" s="18" t="s">
        <v>61</v>
      </c>
      <c r="C81" s="18" t="s">
        <v>59</v>
      </c>
      <c r="D81" s="18"/>
      <c r="E81" s="22" t="s">
        <v>12</v>
      </c>
      <c r="F81" s="20" t="n">
        <v>763000</v>
      </c>
      <c r="G81" s="20" t="n">
        <v>285000</v>
      </c>
      <c r="H81" s="20" t="n">
        <v>478000</v>
      </c>
      <c r="I81" s="20" t="n">
        <v>285000</v>
      </c>
      <c r="J81" s="20" t="n">
        <v>178000</v>
      </c>
      <c r="K81" s="20" t="n">
        <v>0</v>
      </c>
      <c r="L81" s="20" t="n">
        <v>0</v>
      </c>
      <c r="M81" s="21" t="n">
        <f aca="false">SUM(I81:L81)</f>
        <v>463000</v>
      </c>
      <c r="N81" s="20" t="n">
        <v>0</v>
      </c>
      <c r="O81" s="20" t="n">
        <v>45000</v>
      </c>
      <c r="P81" s="21" t="n">
        <f aca="false">F81-M81</f>
        <v>300000</v>
      </c>
    </row>
    <row r="82" customFormat="false" ht="15" hidden="false" customHeight="true" outlineLevel="0" collapsed="false">
      <c r="A82" s="17" t="s">
        <v>144</v>
      </c>
      <c r="B82" s="18" t="s">
        <v>73</v>
      </c>
      <c r="C82" s="18" t="s">
        <v>55</v>
      </c>
      <c r="D82" s="18"/>
      <c r="E82" s="22" t="s">
        <v>12</v>
      </c>
      <c r="F82" s="20" t="n">
        <v>491000</v>
      </c>
      <c r="G82" s="20" t="n">
        <v>0</v>
      </c>
      <c r="H82" s="20" t="n">
        <v>491000</v>
      </c>
      <c r="I82" s="20" t="n">
        <v>0</v>
      </c>
      <c r="J82" s="20" t="n">
        <v>191000</v>
      </c>
      <c r="K82" s="20" t="n">
        <v>0</v>
      </c>
      <c r="L82" s="20" t="n">
        <v>0</v>
      </c>
      <c r="M82" s="21" t="n">
        <f aca="false">SUM(I82:L82)</f>
        <v>191000</v>
      </c>
      <c r="N82" s="20" t="n">
        <v>0</v>
      </c>
      <c r="O82" s="20" t="n">
        <v>0</v>
      </c>
      <c r="P82" s="21" t="n">
        <f aca="false">F82-M82</f>
        <v>300000</v>
      </c>
    </row>
    <row r="83" customFormat="false" ht="15" hidden="false" customHeight="true" outlineLevel="0" collapsed="false">
      <c r="A83" s="17" t="s">
        <v>145</v>
      </c>
      <c r="B83" s="18" t="s">
        <v>73</v>
      </c>
      <c r="C83" s="18" t="s">
        <v>55</v>
      </c>
      <c r="D83" s="18"/>
      <c r="E83" s="22" t="s">
        <v>12</v>
      </c>
      <c r="F83" s="20" t="n">
        <v>591000</v>
      </c>
      <c r="G83" s="20" t="n">
        <v>100000</v>
      </c>
      <c r="H83" s="20" t="n">
        <v>491000</v>
      </c>
      <c r="I83" s="20" t="n">
        <v>100000</v>
      </c>
      <c r="J83" s="20" t="n">
        <v>191000</v>
      </c>
      <c r="K83" s="20" t="n">
        <v>0</v>
      </c>
      <c r="L83" s="20" t="n">
        <v>0</v>
      </c>
      <c r="M83" s="21" t="n">
        <f aca="false">SUM(I83:L83)</f>
        <v>291000</v>
      </c>
      <c r="N83" s="20" t="n">
        <v>981000</v>
      </c>
      <c r="O83" s="20" t="n">
        <v>0</v>
      </c>
      <c r="P83" s="21" t="n">
        <f aca="false">F83-M83</f>
        <v>300000</v>
      </c>
    </row>
    <row r="84" customFormat="false" ht="15" hidden="false" customHeight="true" outlineLevel="0" collapsed="false">
      <c r="A84" s="17" t="s">
        <v>146</v>
      </c>
      <c r="B84" s="18" t="s">
        <v>64</v>
      </c>
      <c r="C84" s="18" t="s">
        <v>65</v>
      </c>
      <c r="D84" s="18"/>
      <c r="E84" s="22" t="s">
        <v>12</v>
      </c>
      <c r="F84" s="20" t="n">
        <v>460000</v>
      </c>
      <c r="G84" s="20" t="n">
        <v>0</v>
      </c>
      <c r="H84" s="20" t="n">
        <v>460000</v>
      </c>
      <c r="I84" s="20" t="n">
        <v>0</v>
      </c>
      <c r="J84" s="20" t="n">
        <v>160000</v>
      </c>
      <c r="K84" s="20" t="n">
        <v>0</v>
      </c>
      <c r="L84" s="20" t="n">
        <v>0</v>
      </c>
      <c r="M84" s="21" t="n">
        <f aca="false">SUM(I84:L84)</f>
        <v>160000</v>
      </c>
      <c r="N84" s="20" t="n">
        <v>0</v>
      </c>
      <c r="O84" s="20" t="n">
        <v>0</v>
      </c>
      <c r="P84" s="21" t="n">
        <f aca="false">F84-M84</f>
        <v>300000</v>
      </c>
    </row>
    <row r="85" customFormat="false" ht="15" hidden="false" customHeight="true" outlineLevel="0" collapsed="false">
      <c r="A85" s="17" t="s">
        <v>147</v>
      </c>
      <c r="B85" s="18" t="s">
        <v>54</v>
      </c>
      <c r="C85" s="18" t="s">
        <v>55</v>
      </c>
      <c r="D85" s="18"/>
      <c r="E85" s="22" t="s">
        <v>12</v>
      </c>
      <c r="F85" s="20" t="n">
        <v>591000</v>
      </c>
      <c r="G85" s="20" t="n">
        <v>100000</v>
      </c>
      <c r="H85" s="20" t="n">
        <v>491000</v>
      </c>
      <c r="I85" s="20" t="n">
        <v>100000</v>
      </c>
      <c r="J85" s="20" t="n">
        <v>191000</v>
      </c>
      <c r="K85" s="20" t="n">
        <v>0</v>
      </c>
      <c r="L85" s="20" t="n">
        <v>0</v>
      </c>
      <c r="M85" s="21" t="n">
        <f aca="false">SUM(I85:L85)</f>
        <v>291000</v>
      </c>
      <c r="N85" s="20" t="n">
        <v>325000</v>
      </c>
      <c r="O85" s="20" t="n">
        <v>100000</v>
      </c>
      <c r="P85" s="21" t="n">
        <f aca="false">F85-M85</f>
        <v>300000</v>
      </c>
    </row>
    <row r="86" customFormat="false" ht="15" hidden="false" customHeight="true" outlineLevel="0" collapsed="false">
      <c r="A86" s="17" t="s">
        <v>148</v>
      </c>
      <c r="B86" s="18" t="s">
        <v>70</v>
      </c>
      <c r="C86" s="18" t="s">
        <v>52</v>
      </c>
      <c r="D86" s="18"/>
      <c r="E86" s="22" t="s">
        <v>12</v>
      </c>
      <c r="F86" s="20" t="n">
        <v>545000</v>
      </c>
      <c r="G86" s="20" t="n">
        <v>75000</v>
      </c>
      <c r="H86" s="20" t="n">
        <v>470000</v>
      </c>
      <c r="I86" s="20" t="n">
        <v>75000</v>
      </c>
      <c r="J86" s="20" t="n">
        <v>170000</v>
      </c>
      <c r="K86" s="20" t="n">
        <v>0</v>
      </c>
      <c r="L86" s="20" t="n">
        <v>0</v>
      </c>
      <c r="M86" s="21" t="n">
        <f aca="false">SUM(I86:L86)</f>
        <v>245000</v>
      </c>
      <c r="N86" s="20" t="n">
        <v>0</v>
      </c>
      <c r="O86" s="20" t="n">
        <v>0</v>
      </c>
      <c r="P86" s="21" t="n">
        <f aca="false">F86-M86</f>
        <v>300000</v>
      </c>
    </row>
    <row r="87" customFormat="false" ht="15" hidden="false" customHeight="true" outlineLevel="0" collapsed="false">
      <c r="A87" s="17" t="s">
        <v>149</v>
      </c>
      <c r="B87" s="18" t="s">
        <v>68</v>
      </c>
      <c r="C87" s="18" t="s">
        <v>55</v>
      </c>
      <c r="D87" s="18"/>
      <c r="E87" s="22" t="s">
        <v>12</v>
      </c>
      <c r="F87" s="20" t="n">
        <v>591000</v>
      </c>
      <c r="G87" s="20" t="n">
        <v>100000</v>
      </c>
      <c r="H87" s="20" t="n">
        <v>491000</v>
      </c>
      <c r="I87" s="20" t="n">
        <v>100000</v>
      </c>
      <c r="J87" s="20" t="n">
        <v>191000</v>
      </c>
      <c r="K87" s="20" t="n">
        <v>0</v>
      </c>
      <c r="L87" s="20" t="n">
        <v>0</v>
      </c>
      <c r="M87" s="21" t="n">
        <f aca="false">SUM(I87:L87)</f>
        <v>291000</v>
      </c>
      <c r="N87" s="20" t="n">
        <v>0</v>
      </c>
      <c r="O87" s="20" t="n">
        <v>0</v>
      </c>
      <c r="P87" s="21" t="n">
        <f aca="false">F87-M87</f>
        <v>300000</v>
      </c>
    </row>
    <row r="88" customFormat="false" ht="15" hidden="false" customHeight="true" outlineLevel="0" collapsed="false">
      <c r="A88" s="17" t="s">
        <v>150</v>
      </c>
      <c r="B88" s="18" t="s">
        <v>61</v>
      </c>
      <c r="C88" s="18" t="s">
        <v>59</v>
      </c>
      <c r="D88" s="18"/>
      <c r="E88" s="22" t="s">
        <v>12</v>
      </c>
      <c r="F88" s="20" t="n">
        <v>567700</v>
      </c>
      <c r="G88" s="20" t="n">
        <v>100000</v>
      </c>
      <c r="H88" s="20" t="n">
        <v>467700</v>
      </c>
      <c r="I88" s="20" t="n">
        <v>100000</v>
      </c>
      <c r="J88" s="20" t="n">
        <v>167700</v>
      </c>
      <c r="K88" s="20" t="n">
        <v>0</v>
      </c>
      <c r="L88" s="20" t="n">
        <v>0</v>
      </c>
      <c r="M88" s="21" t="n">
        <f aca="false">SUM(I88:L88)</f>
        <v>267700</v>
      </c>
      <c r="N88" s="20" t="n">
        <v>0</v>
      </c>
      <c r="O88" s="20" t="n">
        <v>183700</v>
      </c>
      <c r="P88" s="21" t="n">
        <f aca="false">F88-M88</f>
        <v>300000</v>
      </c>
    </row>
    <row r="89" customFormat="false" ht="15" hidden="false" customHeight="true" outlineLevel="0" collapsed="false">
      <c r="A89" s="17" t="s">
        <v>151</v>
      </c>
      <c r="B89" s="18" t="s">
        <v>61</v>
      </c>
      <c r="C89" s="18" t="s">
        <v>59</v>
      </c>
      <c r="D89" s="18"/>
      <c r="E89" s="22" t="s">
        <v>12</v>
      </c>
      <c r="F89" s="20" t="n">
        <v>511700</v>
      </c>
      <c r="G89" s="20" t="n">
        <v>0</v>
      </c>
      <c r="H89" s="20" t="n">
        <v>511700</v>
      </c>
      <c r="I89" s="20" t="n">
        <v>0</v>
      </c>
      <c r="J89" s="20" t="n">
        <v>211700</v>
      </c>
      <c r="K89" s="20" t="n">
        <v>0</v>
      </c>
      <c r="L89" s="20" t="n">
        <v>0</v>
      </c>
      <c r="M89" s="21" t="n">
        <f aca="false">SUM(I89:L89)</f>
        <v>211700</v>
      </c>
      <c r="N89" s="20" t="n">
        <v>0</v>
      </c>
      <c r="O89" s="20" t="n">
        <v>0</v>
      </c>
      <c r="P89" s="21" t="n">
        <f aca="false">F89-M89</f>
        <v>300000</v>
      </c>
    </row>
    <row r="90" customFormat="false" ht="15" hidden="false" customHeight="true" outlineLevel="0" collapsed="false">
      <c r="A90" s="17" t="s">
        <v>152</v>
      </c>
      <c r="B90" s="18" t="s">
        <v>51</v>
      </c>
      <c r="C90" s="18" t="s">
        <v>52</v>
      </c>
      <c r="D90" s="18"/>
      <c r="E90" s="22" t="s">
        <v>12</v>
      </c>
      <c r="F90" s="20" t="n">
        <v>432000</v>
      </c>
      <c r="G90" s="20" t="n">
        <v>0</v>
      </c>
      <c r="H90" s="20" t="n">
        <v>432000</v>
      </c>
      <c r="I90" s="20" t="n">
        <v>0</v>
      </c>
      <c r="J90" s="20" t="n">
        <v>170000</v>
      </c>
      <c r="K90" s="20" t="n">
        <v>0</v>
      </c>
      <c r="L90" s="20" t="n">
        <v>0</v>
      </c>
      <c r="M90" s="21" t="n">
        <f aca="false">SUM(I90:L90)</f>
        <v>170000</v>
      </c>
      <c r="N90" s="20" t="n">
        <v>0</v>
      </c>
      <c r="O90" s="20" t="n">
        <v>0</v>
      </c>
      <c r="P90" s="21" t="n">
        <f aca="false">F90-M90</f>
        <v>262000</v>
      </c>
    </row>
    <row r="91" customFormat="false" ht="15" hidden="false" customHeight="true" outlineLevel="0" collapsed="false">
      <c r="A91" s="17" t="s">
        <v>153</v>
      </c>
      <c r="B91" s="18" t="s">
        <v>64</v>
      </c>
      <c r="C91" s="18" t="s">
        <v>65</v>
      </c>
      <c r="D91" s="18"/>
      <c r="E91" s="22" t="s">
        <v>12</v>
      </c>
      <c r="F91" s="20" t="n">
        <v>1432700</v>
      </c>
      <c r="G91" s="20" t="n">
        <v>250000</v>
      </c>
      <c r="H91" s="20" t="n">
        <v>500700</v>
      </c>
      <c r="I91" s="20" t="n">
        <v>295000</v>
      </c>
      <c r="J91" s="20" t="n">
        <v>200700</v>
      </c>
      <c r="K91" s="20" t="n">
        <v>682000</v>
      </c>
      <c r="L91" s="20" t="n">
        <v>0</v>
      </c>
      <c r="M91" s="21" t="n">
        <f aca="false">SUM(I91:L91)</f>
        <v>1177700</v>
      </c>
      <c r="N91" s="20" t="n">
        <v>0</v>
      </c>
      <c r="O91" s="20" t="n">
        <v>0</v>
      </c>
      <c r="P91" s="21" t="n">
        <f aca="false">F91-M91</f>
        <v>255000</v>
      </c>
    </row>
    <row r="92" customFormat="false" ht="15" hidden="false" customHeight="true" outlineLevel="0" collapsed="false">
      <c r="A92" s="17" t="s">
        <v>154</v>
      </c>
      <c r="B92" s="18" t="s">
        <v>68</v>
      </c>
      <c r="C92" s="18" t="s">
        <v>55</v>
      </c>
      <c r="D92" s="18"/>
      <c r="E92" s="22" t="s">
        <v>12</v>
      </c>
      <c r="F92" s="20" t="n">
        <v>531000</v>
      </c>
      <c r="G92" s="20" t="n">
        <v>40000</v>
      </c>
      <c r="H92" s="20" t="n">
        <v>491000</v>
      </c>
      <c r="I92" s="20" t="n">
        <v>40000</v>
      </c>
      <c r="J92" s="20" t="n">
        <v>191000</v>
      </c>
      <c r="K92" s="20" t="n">
        <v>0</v>
      </c>
      <c r="L92" s="20" t="n">
        <v>54000</v>
      </c>
      <c r="M92" s="21" t="n">
        <f aca="false">SUM(I92:L92)</f>
        <v>285000</v>
      </c>
      <c r="N92" s="20" t="n">
        <v>0</v>
      </c>
      <c r="O92" s="20" t="n">
        <v>0</v>
      </c>
      <c r="P92" s="21" t="n">
        <f aca="false">F92-M92</f>
        <v>246000</v>
      </c>
    </row>
    <row r="93" customFormat="false" ht="15" hidden="false" customHeight="true" outlineLevel="0" collapsed="false">
      <c r="A93" s="17" t="s">
        <v>155</v>
      </c>
      <c r="B93" s="18" t="s">
        <v>54</v>
      </c>
      <c r="C93" s="18" t="s">
        <v>55</v>
      </c>
      <c r="D93" s="18"/>
      <c r="E93" s="22" t="s">
        <v>12</v>
      </c>
      <c r="F93" s="20" t="n">
        <v>566000</v>
      </c>
      <c r="G93" s="20" t="n">
        <v>75000</v>
      </c>
      <c r="H93" s="20" t="n">
        <v>491000</v>
      </c>
      <c r="I93" s="20" t="n">
        <v>75000</v>
      </c>
      <c r="J93" s="20" t="n">
        <v>191000</v>
      </c>
      <c r="K93" s="20" t="n">
        <v>0</v>
      </c>
      <c r="L93" s="20" t="n">
        <v>75000</v>
      </c>
      <c r="M93" s="21" t="n">
        <f aca="false">SUM(I93:L93)</f>
        <v>341000</v>
      </c>
      <c r="N93" s="20" t="n">
        <v>0</v>
      </c>
      <c r="O93" s="20" t="n">
        <v>0</v>
      </c>
      <c r="P93" s="21" t="n">
        <f aca="false">F93-M93</f>
        <v>225000</v>
      </c>
    </row>
    <row r="94" customFormat="false" ht="15" hidden="false" customHeight="true" outlineLevel="0" collapsed="false">
      <c r="A94" s="17" t="s">
        <v>156</v>
      </c>
      <c r="B94" s="18" t="s">
        <v>58</v>
      </c>
      <c r="C94" s="18" t="s">
        <v>59</v>
      </c>
      <c r="D94" s="18"/>
      <c r="E94" s="22" t="s">
        <v>12</v>
      </c>
      <c r="F94" s="20" t="n">
        <v>711700</v>
      </c>
      <c r="G94" s="20" t="n">
        <v>200000</v>
      </c>
      <c r="H94" s="20" t="n">
        <v>511700</v>
      </c>
      <c r="I94" s="20" t="n">
        <v>300000</v>
      </c>
      <c r="J94" s="20" t="n">
        <v>211700</v>
      </c>
      <c r="K94" s="20" t="n">
        <v>0</v>
      </c>
      <c r="L94" s="20" t="n">
        <v>0</v>
      </c>
      <c r="M94" s="21" t="n">
        <f aca="false">SUM(I94:L94)</f>
        <v>511700</v>
      </c>
      <c r="N94" s="20" t="n">
        <v>0</v>
      </c>
      <c r="O94" s="20" t="n">
        <v>0</v>
      </c>
      <c r="P94" s="21" t="n">
        <f aca="false">F94-M94</f>
        <v>200000</v>
      </c>
    </row>
    <row r="95" customFormat="false" ht="15" hidden="false" customHeight="true" outlineLevel="0" collapsed="false">
      <c r="A95" s="17" t="s">
        <v>157</v>
      </c>
      <c r="B95" s="18" t="s">
        <v>73</v>
      </c>
      <c r="C95" s="18" t="s">
        <v>55</v>
      </c>
      <c r="D95" s="18"/>
      <c r="E95" s="22" t="s">
        <v>12</v>
      </c>
      <c r="F95" s="20" t="n">
        <v>641000</v>
      </c>
      <c r="G95" s="20" t="n">
        <v>150000</v>
      </c>
      <c r="H95" s="20" t="n">
        <v>491000</v>
      </c>
      <c r="I95" s="20" t="n">
        <v>150000</v>
      </c>
      <c r="J95" s="20" t="n">
        <v>191000</v>
      </c>
      <c r="K95" s="20" t="n">
        <v>0</v>
      </c>
      <c r="L95" s="20" t="n">
        <v>130000</v>
      </c>
      <c r="M95" s="21" t="n">
        <f aca="false">SUM(I95:L95)</f>
        <v>471000</v>
      </c>
      <c r="N95" s="20" t="n">
        <v>0</v>
      </c>
      <c r="O95" s="20" t="n">
        <v>30000</v>
      </c>
      <c r="P95" s="21" t="n">
        <f aca="false">F95-M95</f>
        <v>170000</v>
      </c>
    </row>
    <row r="96" customFormat="false" ht="15" hidden="false" customHeight="true" outlineLevel="0" collapsed="false">
      <c r="A96" s="17" t="s">
        <v>158</v>
      </c>
      <c r="B96" s="18" t="s">
        <v>58</v>
      </c>
      <c r="C96" s="18" t="s">
        <v>59</v>
      </c>
      <c r="D96" s="18"/>
      <c r="E96" s="22" t="s">
        <v>12</v>
      </c>
      <c r="F96" s="20" t="n">
        <v>523700</v>
      </c>
      <c r="G96" s="20" t="n">
        <v>40000</v>
      </c>
      <c r="H96" s="20" t="n">
        <v>483700</v>
      </c>
      <c r="I96" s="20" t="n">
        <v>40000</v>
      </c>
      <c r="J96" s="20" t="n">
        <v>183000</v>
      </c>
      <c r="K96" s="20" t="n">
        <v>0</v>
      </c>
      <c r="L96" s="20" t="n">
        <v>250000</v>
      </c>
      <c r="M96" s="21" t="n">
        <f aca="false">SUM(I96:L96)</f>
        <v>473000</v>
      </c>
      <c r="N96" s="20" t="n">
        <v>0</v>
      </c>
      <c r="O96" s="20" t="n">
        <v>0</v>
      </c>
      <c r="P96" s="21" t="n">
        <f aca="false">F96-M96</f>
        <v>50700</v>
      </c>
    </row>
    <row r="97" customFormat="false" ht="15" hidden="false" customHeight="true" outlineLevel="0" collapsed="false">
      <c r="A97" s="17" t="s">
        <v>159</v>
      </c>
      <c r="B97" s="18" t="s">
        <v>61</v>
      </c>
      <c r="C97" s="18" t="s">
        <v>59</v>
      </c>
      <c r="D97" s="18"/>
      <c r="E97" s="22" t="s">
        <v>12</v>
      </c>
      <c r="F97" s="20" t="n">
        <v>560000</v>
      </c>
      <c r="G97" s="20" t="n">
        <v>100000</v>
      </c>
      <c r="H97" s="20" t="n">
        <v>460000</v>
      </c>
      <c r="I97" s="20" t="n">
        <v>100000</v>
      </c>
      <c r="J97" s="20" t="n">
        <v>160000</v>
      </c>
      <c r="K97" s="20" t="n">
        <v>0</v>
      </c>
      <c r="L97" s="20" t="n">
        <v>250000</v>
      </c>
      <c r="M97" s="21" t="n">
        <f aca="false">SUM(I97:L97)</f>
        <v>510000</v>
      </c>
      <c r="N97" s="20" t="n">
        <v>0</v>
      </c>
      <c r="O97" s="20" t="n">
        <v>0</v>
      </c>
      <c r="P97" s="21" t="n">
        <f aca="false">F97-M97</f>
        <v>50000</v>
      </c>
    </row>
    <row r="98" customFormat="false" ht="15" hidden="false" customHeight="true" outlineLevel="0" collapsed="false">
      <c r="A98" s="17" t="s">
        <v>160</v>
      </c>
      <c r="B98" s="18"/>
      <c r="C98" s="18" t="s">
        <v>161</v>
      </c>
      <c r="D98" s="18"/>
      <c r="E98" s="24" t="s">
        <v>14</v>
      </c>
      <c r="F98" s="20" t="n">
        <v>800000</v>
      </c>
      <c r="G98" s="20" t="n">
        <v>0</v>
      </c>
      <c r="H98" s="20" t="n">
        <v>800000</v>
      </c>
      <c r="I98" s="20" t="n">
        <v>0</v>
      </c>
      <c r="J98" s="20" t="n">
        <v>0</v>
      </c>
      <c r="K98" s="20" t="n">
        <v>0</v>
      </c>
      <c r="L98" s="20" t="n">
        <v>0</v>
      </c>
      <c r="M98" s="21" t="n">
        <f aca="false">SUM(I98:L98)</f>
        <v>0</v>
      </c>
      <c r="N98" s="20" t="n">
        <v>0</v>
      </c>
      <c r="O98" s="20" t="n">
        <v>0</v>
      </c>
      <c r="P98" s="21" t="n">
        <f aca="false">F98-M98</f>
        <v>800000</v>
      </c>
    </row>
    <row r="99" customFormat="false" ht="15" hidden="false" customHeight="true" outlineLevel="0" collapsed="false">
      <c r="A99" s="17" t="s">
        <v>162</v>
      </c>
      <c r="B99" s="18"/>
      <c r="C99" s="18" t="s">
        <v>161</v>
      </c>
      <c r="D99" s="18"/>
      <c r="E99" s="24" t="s">
        <v>14</v>
      </c>
      <c r="F99" s="20" t="n">
        <v>800000</v>
      </c>
      <c r="G99" s="20" t="n">
        <v>0</v>
      </c>
      <c r="H99" s="20" t="n">
        <v>800000</v>
      </c>
      <c r="I99" s="20" t="n">
        <v>0</v>
      </c>
      <c r="J99" s="20" t="n">
        <v>0</v>
      </c>
      <c r="K99" s="20" t="n">
        <v>0</v>
      </c>
      <c r="L99" s="20" t="n">
        <v>0</v>
      </c>
      <c r="M99" s="21" t="n">
        <f aca="false">SUM(I99:L99)</f>
        <v>0</v>
      </c>
      <c r="N99" s="20" t="n">
        <v>0</v>
      </c>
      <c r="O99" s="20" t="n">
        <v>0</v>
      </c>
      <c r="P99" s="21" t="n">
        <f aca="false">F99-M99</f>
        <v>800000</v>
      </c>
    </row>
    <row r="100" customFormat="false" ht="15" hidden="false" customHeight="true" outlineLevel="0" collapsed="false">
      <c r="A100" s="17" t="s">
        <v>163</v>
      </c>
      <c r="B100" s="18"/>
      <c r="C100" s="18" t="s">
        <v>161</v>
      </c>
      <c r="D100" s="18"/>
      <c r="E100" s="24" t="s">
        <v>14</v>
      </c>
      <c r="F100" s="20" t="n">
        <v>800000</v>
      </c>
      <c r="G100" s="20" t="n">
        <v>0</v>
      </c>
      <c r="H100" s="20" t="n">
        <v>800000</v>
      </c>
      <c r="I100" s="20" t="n">
        <v>0</v>
      </c>
      <c r="J100" s="20" t="n">
        <v>0</v>
      </c>
      <c r="K100" s="20" t="n">
        <v>0</v>
      </c>
      <c r="L100" s="20" t="n">
        <v>0</v>
      </c>
      <c r="M100" s="21" t="n">
        <f aca="false">SUM(I100:L100)</f>
        <v>0</v>
      </c>
      <c r="N100" s="20" t="n">
        <v>0</v>
      </c>
      <c r="O100" s="20" t="n">
        <v>0</v>
      </c>
      <c r="P100" s="21" t="n">
        <f aca="false">F100-M100</f>
        <v>800000</v>
      </c>
    </row>
    <row r="101" customFormat="false" ht="15" hidden="false" customHeight="true" outlineLevel="0" collapsed="false">
      <c r="A101" s="17" t="s">
        <v>164</v>
      </c>
      <c r="B101" s="18"/>
      <c r="C101" s="18" t="s">
        <v>161</v>
      </c>
      <c r="D101" s="18"/>
      <c r="E101" s="24" t="s">
        <v>14</v>
      </c>
      <c r="F101" s="20" t="n">
        <v>800000</v>
      </c>
      <c r="G101" s="20" t="n">
        <v>0</v>
      </c>
      <c r="H101" s="20" t="n">
        <v>800000</v>
      </c>
      <c r="I101" s="20" t="n">
        <v>0</v>
      </c>
      <c r="J101" s="20" t="n">
        <v>0</v>
      </c>
      <c r="K101" s="20" t="n">
        <v>0</v>
      </c>
      <c r="L101" s="20" t="n">
        <v>0</v>
      </c>
      <c r="M101" s="21" t="n">
        <f aca="false">SUM(I101:L101)</f>
        <v>0</v>
      </c>
      <c r="N101" s="20" t="n">
        <v>0</v>
      </c>
      <c r="O101" s="20" t="n">
        <v>0</v>
      </c>
      <c r="P101" s="21" t="n">
        <f aca="false">F101-M101</f>
        <v>800000</v>
      </c>
    </row>
    <row r="102" customFormat="false" ht="15" hidden="false" customHeight="true" outlineLevel="0" collapsed="false">
      <c r="A102" s="17" t="s">
        <v>165</v>
      </c>
      <c r="B102" s="18"/>
      <c r="C102" s="18" t="s">
        <v>161</v>
      </c>
      <c r="D102" s="18"/>
      <c r="E102" s="24" t="s">
        <v>14</v>
      </c>
      <c r="F102" s="20" t="n">
        <v>800000</v>
      </c>
      <c r="G102" s="20" t="n">
        <v>0</v>
      </c>
      <c r="H102" s="20" t="n">
        <v>800000</v>
      </c>
      <c r="I102" s="20" t="n">
        <v>0</v>
      </c>
      <c r="J102" s="20" t="n">
        <v>0</v>
      </c>
      <c r="K102" s="20" t="n">
        <v>0</v>
      </c>
      <c r="L102" s="20" t="n">
        <v>0</v>
      </c>
      <c r="M102" s="21" t="n">
        <f aca="false">SUM(I102:L102)</f>
        <v>0</v>
      </c>
      <c r="N102" s="20" t="n">
        <v>0</v>
      </c>
      <c r="O102" s="20" t="n">
        <v>0</v>
      </c>
      <c r="P102" s="21" t="n">
        <f aca="false">F102-M102</f>
        <v>800000</v>
      </c>
    </row>
    <row r="103" customFormat="false" ht="15" hidden="false" customHeight="true" outlineLevel="0" collapsed="false">
      <c r="A103" s="17" t="s">
        <v>166</v>
      </c>
      <c r="B103" s="18"/>
      <c r="C103" s="18" t="s">
        <v>161</v>
      </c>
      <c r="D103" s="18"/>
      <c r="E103" s="24" t="s">
        <v>14</v>
      </c>
      <c r="F103" s="20" t="n">
        <v>800000</v>
      </c>
      <c r="G103" s="20" t="n">
        <v>0</v>
      </c>
      <c r="H103" s="20" t="n">
        <v>800000</v>
      </c>
      <c r="I103" s="20" t="n">
        <v>0</v>
      </c>
      <c r="J103" s="20" t="n">
        <v>0</v>
      </c>
      <c r="K103" s="20" t="n">
        <v>0</v>
      </c>
      <c r="L103" s="20" t="n">
        <v>0</v>
      </c>
      <c r="M103" s="21" t="n">
        <f aca="false">SUM(I103:L103)</f>
        <v>0</v>
      </c>
      <c r="N103" s="20" t="n">
        <v>0</v>
      </c>
      <c r="O103" s="20" t="n">
        <v>0</v>
      </c>
      <c r="P103" s="21" t="n">
        <f aca="false">F103-M103</f>
        <v>800000</v>
      </c>
    </row>
    <row r="104" customFormat="false" ht="15" hidden="false" customHeight="true" outlineLevel="0" collapsed="false">
      <c r="A104" s="17" t="s">
        <v>167</v>
      </c>
      <c r="B104" s="18"/>
      <c r="C104" s="18" t="s">
        <v>161</v>
      </c>
      <c r="D104" s="18"/>
      <c r="E104" s="24" t="s">
        <v>14</v>
      </c>
      <c r="F104" s="20" t="n">
        <v>800000</v>
      </c>
      <c r="G104" s="20" t="n">
        <v>0</v>
      </c>
      <c r="H104" s="20" t="n">
        <v>800000</v>
      </c>
      <c r="I104" s="20" t="n">
        <v>0</v>
      </c>
      <c r="J104" s="20" t="n">
        <v>0</v>
      </c>
      <c r="K104" s="20" t="n">
        <v>0</v>
      </c>
      <c r="L104" s="20" t="n">
        <v>0</v>
      </c>
      <c r="M104" s="21" t="n">
        <f aca="false">SUM(I104:L104)</f>
        <v>0</v>
      </c>
      <c r="N104" s="20" t="n">
        <v>0</v>
      </c>
      <c r="O104" s="20" t="n">
        <v>0</v>
      </c>
      <c r="P104" s="21" t="n">
        <f aca="false">F104-M104</f>
        <v>800000</v>
      </c>
    </row>
    <row r="105" customFormat="false" ht="15" hidden="false" customHeight="true" outlineLevel="0" collapsed="false">
      <c r="A105" s="17" t="s">
        <v>168</v>
      </c>
      <c r="B105" s="18"/>
      <c r="C105" s="18" t="s">
        <v>161</v>
      </c>
      <c r="D105" s="18"/>
      <c r="E105" s="24" t="s">
        <v>14</v>
      </c>
      <c r="F105" s="20" t="n">
        <v>800000</v>
      </c>
      <c r="G105" s="20" t="n">
        <v>0</v>
      </c>
      <c r="H105" s="20" t="n">
        <v>800000</v>
      </c>
      <c r="I105" s="20" t="n">
        <v>0</v>
      </c>
      <c r="J105" s="20" t="n">
        <v>0</v>
      </c>
      <c r="K105" s="20" t="n">
        <v>0</v>
      </c>
      <c r="L105" s="20" t="n">
        <v>0</v>
      </c>
      <c r="M105" s="21" t="n">
        <f aca="false">SUM(I105:L105)</f>
        <v>0</v>
      </c>
      <c r="N105" s="20" t="n">
        <v>0</v>
      </c>
      <c r="O105" s="20" t="n">
        <v>0</v>
      </c>
      <c r="P105" s="21" t="n">
        <f aca="false">F105-M105</f>
        <v>800000</v>
      </c>
    </row>
    <row r="106" customFormat="false" ht="15" hidden="false" customHeight="true" outlineLevel="0" collapsed="false">
      <c r="A106" s="17" t="s">
        <v>169</v>
      </c>
      <c r="B106" s="18"/>
      <c r="C106" s="18" t="s">
        <v>161</v>
      </c>
      <c r="D106" s="18"/>
      <c r="E106" s="24" t="s">
        <v>14</v>
      </c>
      <c r="F106" s="20" t="n">
        <v>800000</v>
      </c>
      <c r="G106" s="20" t="n">
        <v>0</v>
      </c>
      <c r="H106" s="20" t="n">
        <v>800000</v>
      </c>
      <c r="I106" s="20" t="n">
        <v>0</v>
      </c>
      <c r="J106" s="20" t="n">
        <v>0</v>
      </c>
      <c r="K106" s="20" t="n">
        <v>0</v>
      </c>
      <c r="L106" s="20" t="n">
        <v>0</v>
      </c>
      <c r="M106" s="21" t="n">
        <f aca="false">SUM(I106:L106)</f>
        <v>0</v>
      </c>
      <c r="N106" s="20" t="n">
        <v>0</v>
      </c>
      <c r="O106" s="20" t="n">
        <v>0</v>
      </c>
      <c r="P106" s="21" t="n">
        <f aca="false">F106-M106</f>
        <v>800000</v>
      </c>
    </row>
    <row r="107" customFormat="false" ht="15" hidden="false" customHeight="true" outlineLevel="0" collapsed="false">
      <c r="A107" s="18" t="s">
        <v>170</v>
      </c>
      <c r="B107" s="18"/>
      <c r="C107" s="18" t="s">
        <v>171</v>
      </c>
      <c r="D107" s="18"/>
      <c r="E107" s="24" t="s">
        <v>14</v>
      </c>
      <c r="F107" s="20" t="n">
        <v>700000</v>
      </c>
      <c r="G107" s="20" t="n">
        <v>0</v>
      </c>
      <c r="H107" s="20" t="n">
        <v>700000</v>
      </c>
      <c r="I107" s="20" t="n">
        <v>0</v>
      </c>
      <c r="J107" s="20" t="n">
        <v>0</v>
      </c>
      <c r="K107" s="20" t="n">
        <v>0</v>
      </c>
      <c r="L107" s="20" t="n">
        <v>0</v>
      </c>
      <c r="M107" s="21" t="n">
        <f aca="false">SUM(I107:L107)</f>
        <v>0</v>
      </c>
      <c r="N107" s="20" t="n">
        <v>0</v>
      </c>
      <c r="O107" s="20" t="n">
        <v>0</v>
      </c>
      <c r="P107" s="21" t="n">
        <f aca="false">F107-M107</f>
        <v>700000</v>
      </c>
    </row>
    <row r="108" customFormat="false" ht="15" hidden="false" customHeight="true" outlineLevel="0" collapsed="false">
      <c r="A108" s="17" t="s">
        <v>172</v>
      </c>
      <c r="B108" s="18"/>
      <c r="C108" s="18" t="s">
        <v>171</v>
      </c>
      <c r="D108" s="18"/>
      <c r="E108" s="24" t="s">
        <v>14</v>
      </c>
      <c r="F108" s="20" t="n">
        <v>700000</v>
      </c>
      <c r="G108" s="20" t="n">
        <v>0</v>
      </c>
      <c r="H108" s="20" t="n">
        <v>700000</v>
      </c>
      <c r="I108" s="20" t="n">
        <v>0</v>
      </c>
      <c r="J108" s="20" t="n">
        <v>0</v>
      </c>
      <c r="K108" s="20" t="n">
        <v>0</v>
      </c>
      <c r="L108" s="20" t="n">
        <v>0</v>
      </c>
      <c r="M108" s="21" t="n">
        <f aca="false">SUM(I108:L108)</f>
        <v>0</v>
      </c>
      <c r="N108" s="20" t="n">
        <v>0</v>
      </c>
      <c r="O108" s="20" t="n">
        <v>0</v>
      </c>
      <c r="P108" s="21" t="n">
        <f aca="false">F108-M108</f>
        <v>700000</v>
      </c>
    </row>
    <row r="109" customFormat="false" ht="15" hidden="false" customHeight="true" outlineLevel="0" collapsed="false">
      <c r="A109" s="17" t="s">
        <v>173</v>
      </c>
      <c r="B109" s="18"/>
      <c r="C109" s="18" t="s">
        <v>171</v>
      </c>
      <c r="D109" s="18"/>
      <c r="E109" s="24" t="s">
        <v>14</v>
      </c>
      <c r="F109" s="20" t="n">
        <v>700000</v>
      </c>
      <c r="G109" s="20" t="n">
        <v>0</v>
      </c>
      <c r="H109" s="20" t="n">
        <v>700000</v>
      </c>
      <c r="I109" s="20" t="n">
        <v>0</v>
      </c>
      <c r="J109" s="20" t="n">
        <v>0</v>
      </c>
      <c r="K109" s="20" t="n">
        <v>0</v>
      </c>
      <c r="L109" s="20" t="n">
        <v>0</v>
      </c>
      <c r="M109" s="21" t="n">
        <f aca="false">SUM(I109:L109)</f>
        <v>0</v>
      </c>
      <c r="N109" s="20" t="n">
        <v>0</v>
      </c>
      <c r="O109" s="20" t="n">
        <v>0</v>
      </c>
      <c r="P109" s="21" t="n">
        <f aca="false">F109-M109</f>
        <v>700000</v>
      </c>
    </row>
    <row r="110" customFormat="false" ht="15" hidden="false" customHeight="true" outlineLevel="0" collapsed="false">
      <c r="A110" s="17" t="s">
        <v>174</v>
      </c>
      <c r="B110" s="18" t="s">
        <v>58</v>
      </c>
      <c r="C110" s="18" t="s">
        <v>59</v>
      </c>
      <c r="D110" s="18"/>
      <c r="E110" s="24" t="s">
        <v>14</v>
      </c>
      <c r="F110" s="20" t="n">
        <v>611700</v>
      </c>
      <c r="G110" s="20" t="n">
        <v>100000</v>
      </c>
      <c r="H110" s="20" t="n">
        <v>511700</v>
      </c>
      <c r="I110" s="20" t="n">
        <v>0</v>
      </c>
      <c r="J110" s="20" t="n">
        <v>0</v>
      </c>
      <c r="K110" s="20" t="n">
        <v>0</v>
      </c>
      <c r="L110" s="20" t="n">
        <v>0</v>
      </c>
      <c r="M110" s="21" t="n">
        <f aca="false">SUM(I110:L110)</f>
        <v>0</v>
      </c>
      <c r="N110" s="20" t="n">
        <v>0</v>
      </c>
      <c r="O110" s="20" t="n">
        <v>0</v>
      </c>
      <c r="P110" s="21" t="n">
        <f aca="false">F110-M110</f>
        <v>611700</v>
      </c>
    </row>
    <row r="111" customFormat="false" ht="15" hidden="false" customHeight="true" outlineLevel="0" collapsed="false">
      <c r="A111" s="17" t="s">
        <v>175</v>
      </c>
      <c r="B111" s="18" t="s">
        <v>64</v>
      </c>
      <c r="C111" s="18" t="s">
        <v>65</v>
      </c>
      <c r="D111" s="18"/>
      <c r="E111" s="24" t="s">
        <v>14</v>
      </c>
      <c r="F111" s="20" t="n">
        <v>560000</v>
      </c>
      <c r="G111" s="20" t="n">
        <v>100000</v>
      </c>
      <c r="H111" s="20" t="n">
        <v>460000</v>
      </c>
      <c r="I111" s="20" t="n">
        <v>0</v>
      </c>
      <c r="J111" s="20" t="n">
        <v>0</v>
      </c>
      <c r="K111" s="20" t="n">
        <v>0</v>
      </c>
      <c r="L111" s="20" t="n">
        <v>0</v>
      </c>
      <c r="M111" s="21" t="n">
        <f aca="false">SUM(I111:L111)</f>
        <v>0</v>
      </c>
      <c r="N111" s="20" t="n">
        <v>0</v>
      </c>
      <c r="O111" s="20" t="n">
        <v>0</v>
      </c>
      <c r="P111" s="21" t="n">
        <f aca="false">F111-M111</f>
        <v>560000</v>
      </c>
    </row>
    <row r="112" customFormat="false" ht="15" hidden="false" customHeight="true" outlineLevel="0" collapsed="false">
      <c r="A112" s="17" t="s">
        <v>176</v>
      </c>
      <c r="B112" s="18" t="s">
        <v>58</v>
      </c>
      <c r="C112" s="18" t="s">
        <v>59</v>
      </c>
      <c r="D112" s="18"/>
      <c r="E112" s="24" t="s">
        <v>14</v>
      </c>
      <c r="F112" s="20" t="n">
        <v>511700</v>
      </c>
      <c r="G112" s="20" t="n">
        <v>0</v>
      </c>
      <c r="H112" s="20" t="n">
        <v>511700</v>
      </c>
      <c r="I112" s="20" t="n">
        <v>0</v>
      </c>
      <c r="J112" s="20" t="n">
        <v>0</v>
      </c>
      <c r="K112" s="20" t="n">
        <v>0</v>
      </c>
      <c r="L112" s="20" t="n">
        <v>0</v>
      </c>
      <c r="M112" s="21" t="n">
        <f aca="false">SUM(I112:L112)</f>
        <v>0</v>
      </c>
      <c r="N112" s="20" t="n">
        <v>0</v>
      </c>
      <c r="O112" s="20" t="n">
        <v>0</v>
      </c>
      <c r="P112" s="21" t="n">
        <f aca="false">F112-M112</f>
        <v>511700</v>
      </c>
    </row>
    <row r="113" customFormat="false" ht="15" hidden="false" customHeight="true" outlineLevel="0" collapsed="false">
      <c r="A113" s="17" t="s">
        <v>177</v>
      </c>
      <c r="B113" s="18"/>
      <c r="C113" s="18" t="s">
        <v>178</v>
      </c>
      <c r="D113" s="18"/>
      <c r="E113" s="24" t="s">
        <v>14</v>
      </c>
      <c r="F113" s="20" t="n">
        <v>485000</v>
      </c>
      <c r="G113" s="20" t="n">
        <v>0</v>
      </c>
      <c r="H113" s="20" t="n">
        <v>485000</v>
      </c>
      <c r="I113" s="20" t="n">
        <v>0</v>
      </c>
      <c r="J113" s="20" t="n">
        <v>0</v>
      </c>
      <c r="K113" s="20" t="n">
        <v>0</v>
      </c>
      <c r="L113" s="20" t="n">
        <v>0</v>
      </c>
      <c r="M113" s="21" t="n">
        <f aca="false">SUM(I113:L113)</f>
        <v>0</v>
      </c>
      <c r="N113" s="20" t="n">
        <v>0</v>
      </c>
      <c r="O113" s="20" t="n">
        <v>0</v>
      </c>
      <c r="P113" s="21" t="n">
        <f aca="false">F113-M113</f>
        <v>485000</v>
      </c>
    </row>
    <row r="114" customFormat="false" ht="15" hidden="false" customHeight="true" outlineLevel="0" collapsed="false">
      <c r="A114" s="17" t="s">
        <v>179</v>
      </c>
      <c r="B114" s="18"/>
      <c r="C114" s="18" t="s">
        <v>178</v>
      </c>
      <c r="D114" s="18"/>
      <c r="E114" s="24" t="s">
        <v>14</v>
      </c>
      <c r="F114" s="20" t="n">
        <v>485000</v>
      </c>
      <c r="G114" s="20" t="n">
        <v>0</v>
      </c>
      <c r="H114" s="20" t="n">
        <v>485000</v>
      </c>
      <c r="I114" s="20" t="n">
        <v>0</v>
      </c>
      <c r="J114" s="20" t="n">
        <v>0</v>
      </c>
      <c r="K114" s="20" t="n">
        <v>0</v>
      </c>
      <c r="L114" s="20" t="n">
        <v>0</v>
      </c>
      <c r="M114" s="21" t="n">
        <f aca="false">SUM(I114:L114)</f>
        <v>0</v>
      </c>
      <c r="N114" s="20" t="n">
        <v>0</v>
      </c>
      <c r="O114" s="20" t="n">
        <v>0</v>
      </c>
      <c r="P114" s="21" t="n">
        <f aca="false">F114-M114</f>
        <v>485000</v>
      </c>
    </row>
    <row r="115" customFormat="false" ht="15" hidden="false" customHeight="true" outlineLevel="0" collapsed="false">
      <c r="A115" s="17" t="s">
        <v>180</v>
      </c>
      <c r="B115" s="18"/>
      <c r="C115" s="18" t="s">
        <v>178</v>
      </c>
      <c r="D115" s="18"/>
      <c r="E115" s="24" t="s">
        <v>14</v>
      </c>
      <c r="F115" s="20" t="n">
        <v>485000</v>
      </c>
      <c r="G115" s="20" t="n">
        <v>0</v>
      </c>
      <c r="H115" s="20" t="n">
        <v>485000</v>
      </c>
      <c r="I115" s="20" t="n">
        <v>0</v>
      </c>
      <c r="J115" s="20" t="n">
        <v>0</v>
      </c>
      <c r="K115" s="20" t="n">
        <v>0</v>
      </c>
      <c r="L115" s="20" t="n">
        <v>0</v>
      </c>
      <c r="M115" s="21" t="n">
        <f aca="false">SUM(I115:L115)</f>
        <v>0</v>
      </c>
      <c r="N115" s="20" t="n">
        <v>0</v>
      </c>
      <c r="O115" s="20" t="n">
        <v>0</v>
      </c>
      <c r="P115" s="21" t="n">
        <f aca="false">F115-M115</f>
        <v>485000</v>
      </c>
    </row>
    <row r="116" customFormat="false" ht="15" hidden="false" customHeight="true" outlineLevel="0" collapsed="false">
      <c r="A116" s="17" t="s">
        <v>181</v>
      </c>
      <c r="B116" s="18"/>
      <c r="C116" s="18" t="s">
        <v>178</v>
      </c>
      <c r="D116" s="18"/>
      <c r="E116" s="24" t="s">
        <v>14</v>
      </c>
      <c r="F116" s="20" t="n">
        <v>485000</v>
      </c>
      <c r="G116" s="20" t="n">
        <v>0</v>
      </c>
      <c r="H116" s="20" t="n">
        <v>485000</v>
      </c>
      <c r="I116" s="20" t="n">
        <v>0</v>
      </c>
      <c r="J116" s="20" t="n">
        <v>0</v>
      </c>
      <c r="K116" s="20" t="n">
        <v>0</v>
      </c>
      <c r="L116" s="20" t="n">
        <v>0</v>
      </c>
      <c r="M116" s="21" t="n">
        <f aca="false">SUM(I116:L116)</f>
        <v>0</v>
      </c>
      <c r="N116" s="20" t="n">
        <v>0</v>
      </c>
      <c r="O116" s="20" t="n">
        <v>0</v>
      </c>
      <c r="P116" s="21" t="n">
        <f aca="false">F116-M116</f>
        <v>485000</v>
      </c>
    </row>
    <row r="117" customFormat="false" ht="15" hidden="false" customHeight="true" outlineLevel="0" collapsed="false">
      <c r="A117" s="17" t="s">
        <v>182</v>
      </c>
      <c r="B117" s="18"/>
      <c r="C117" s="18" t="s">
        <v>178</v>
      </c>
      <c r="D117" s="18"/>
      <c r="E117" s="24" t="s">
        <v>14</v>
      </c>
      <c r="F117" s="20" t="n">
        <v>485000</v>
      </c>
      <c r="G117" s="20" t="n">
        <v>0</v>
      </c>
      <c r="H117" s="20" t="n">
        <v>485000</v>
      </c>
      <c r="I117" s="20" t="n">
        <v>0</v>
      </c>
      <c r="J117" s="20" t="n">
        <v>0</v>
      </c>
      <c r="K117" s="20" t="n">
        <v>0</v>
      </c>
      <c r="L117" s="20" t="n">
        <v>0</v>
      </c>
      <c r="M117" s="21" t="n">
        <f aca="false">SUM(I117:L117)</f>
        <v>0</v>
      </c>
      <c r="N117" s="20" t="n">
        <v>0</v>
      </c>
      <c r="O117" s="20" t="n">
        <v>0</v>
      </c>
      <c r="P117" s="21" t="n">
        <f aca="false">F117-M117</f>
        <v>485000</v>
      </c>
    </row>
    <row r="118" customFormat="false" ht="15" hidden="false" customHeight="true" outlineLevel="0" collapsed="false">
      <c r="A118" s="17" t="s">
        <v>183</v>
      </c>
      <c r="B118" s="18"/>
      <c r="C118" s="18" t="s">
        <v>178</v>
      </c>
      <c r="D118" s="18"/>
      <c r="E118" s="24" t="s">
        <v>14</v>
      </c>
      <c r="F118" s="20" t="n">
        <v>485000</v>
      </c>
      <c r="G118" s="20" t="n">
        <v>0</v>
      </c>
      <c r="H118" s="20" t="n">
        <v>485000</v>
      </c>
      <c r="I118" s="20" t="n">
        <v>0</v>
      </c>
      <c r="J118" s="20" t="n">
        <v>0</v>
      </c>
      <c r="K118" s="20" t="n">
        <v>0</v>
      </c>
      <c r="L118" s="20" t="n">
        <v>0</v>
      </c>
      <c r="M118" s="21" t="n">
        <f aca="false">SUM(I118:L118)</f>
        <v>0</v>
      </c>
      <c r="N118" s="20" t="n">
        <v>0</v>
      </c>
      <c r="O118" s="20" t="n">
        <v>0</v>
      </c>
      <c r="P118" s="21" t="n">
        <f aca="false">F118-M118</f>
        <v>485000</v>
      </c>
    </row>
    <row r="119" customFormat="false" ht="15" hidden="false" customHeight="true" outlineLevel="0" collapsed="false">
      <c r="A119" s="17" t="s">
        <v>184</v>
      </c>
      <c r="B119" s="18"/>
      <c r="C119" s="18" t="s">
        <v>178</v>
      </c>
      <c r="D119" s="18"/>
      <c r="E119" s="24" t="s">
        <v>14</v>
      </c>
      <c r="F119" s="20" t="n">
        <v>485000</v>
      </c>
      <c r="G119" s="20" t="n">
        <v>0</v>
      </c>
      <c r="H119" s="20" t="n">
        <v>485000</v>
      </c>
      <c r="I119" s="20" t="n">
        <v>0</v>
      </c>
      <c r="J119" s="20" t="n">
        <v>0</v>
      </c>
      <c r="K119" s="20" t="n">
        <v>0</v>
      </c>
      <c r="L119" s="20" t="n">
        <v>0</v>
      </c>
      <c r="M119" s="21" t="n">
        <f aca="false">SUM(I119:L119)</f>
        <v>0</v>
      </c>
      <c r="N119" s="20" t="n">
        <v>0</v>
      </c>
      <c r="O119" s="20" t="n">
        <v>0</v>
      </c>
      <c r="P119" s="21" t="n">
        <f aca="false">F119-M119</f>
        <v>485000</v>
      </c>
    </row>
    <row r="120" customFormat="false" ht="15" hidden="false" customHeight="true" outlineLevel="0" collapsed="false">
      <c r="A120" s="17" t="s">
        <v>185</v>
      </c>
      <c r="B120" s="18"/>
      <c r="C120" s="18" t="s">
        <v>178</v>
      </c>
      <c r="D120" s="18"/>
      <c r="E120" s="24" t="s">
        <v>14</v>
      </c>
      <c r="F120" s="20" t="n">
        <v>485000</v>
      </c>
      <c r="G120" s="20" t="n">
        <v>0</v>
      </c>
      <c r="H120" s="20" t="n">
        <v>485000</v>
      </c>
      <c r="I120" s="20" t="n">
        <v>0</v>
      </c>
      <c r="J120" s="20" t="n">
        <v>0</v>
      </c>
      <c r="K120" s="20" t="n">
        <v>0</v>
      </c>
      <c r="L120" s="20" t="n">
        <v>0</v>
      </c>
      <c r="M120" s="21" t="n">
        <f aca="false">SUM(I120:L120)</f>
        <v>0</v>
      </c>
      <c r="N120" s="20" t="n">
        <v>0</v>
      </c>
      <c r="O120" s="20" t="n">
        <v>0</v>
      </c>
      <c r="P120" s="21" t="n">
        <f aca="false">F120-M120</f>
        <v>485000</v>
      </c>
    </row>
    <row r="121" customFormat="false" ht="15" hidden="false" customHeight="true" outlineLevel="0" collapsed="false">
      <c r="A121" s="17" t="s">
        <v>186</v>
      </c>
      <c r="B121" s="18"/>
      <c r="C121" s="18" t="s">
        <v>178</v>
      </c>
      <c r="D121" s="18"/>
      <c r="E121" s="24" t="s">
        <v>14</v>
      </c>
      <c r="F121" s="20" t="n">
        <v>485000</v>
      </c>
      <c r="G121" s="20" t="n">
        <v>0</v>
      </c>
      <c r="H121" s="20" t="n">
        <v>485000</v>
      </c>
      <c r="I121" s="20" t="n">
        <v>0</v>
      </c>
      <c r="J121" s="20" t="n">
        <v>0</v>
      </c>
      <c r="K121" s="20" t="n">
        <v>0</v>
      </c>
      <c r="L121" s="20" t="n">
        <v>0</v>
      </c>
      <c r="M121" s="21" t="n">
        <f aca="false">SUM(I121:L121)</f>
        <v>0</v>
      </c>
      <c r="N121" s="20" t="n">
        <v>0</v>
      </c>
      <c r="O121" s="20" t="n">
        <v>0</v>
      </c>
      <c r="P121" s="21" t="n">
        <f aca="false">F121-M121</f>
        <v>485000</v>
      </c>
    </row>
    <row r="122" customFormat="false" ht="15" hidden="false" customHeight="true" outlineLevel="0" collapsed="false">
      <c r="A122" s="17" t="s">
        <v>187</v>
      </c>
      <c r="B122" s="18"/>
      <c r="C122" s="18" t="s">
        <v>178</v>
      </c>
      <c r="D122" s="18"/>
      <c r="E122" s="24" t="s">
        <v>14</v>
      </c>
      <c r="F122" s="20" t="n">
        <v>485000</v>
      </c>
      <c r="G122" s="20" t="n">
        <v>0</v>
      </c>
      <c r="H122" s="20" t="n">
        <v>485000</v>
      </c>
      <c r="I122" s="20" t="n">
        <v>0</v>
      </c>
      <c r="J122" s="20" t="n">
        <v>0</v>
      </c>
      <c r="K122" s="20" t="n">
        <v>0</v>
      </c>
      <c r="L122" s="20" t="n">
        <v>0</v>
      </c>
      <c r="M122" s="21" t="n">
        <f aca="false">SUM(I122:L122)</f>
        <v>0</v>
      </c>
      <c r="N122" s="20" t="n">
        <v>0</v>
      </c>
      <c r="O122" s="20" t="n">
        <v>0</v>
      </c>
      <c r="P122" s="21" t="n">
        <f aca="false">F122-M122</f>
        <v>485000</v>
      </c>
    </row>
    <row r="123" customFormat="false" ht="15" hidden="false" customHeight="true" outlineLevel="0" collapsed="false">
      <c r="A123" s="17" t="s">
        <v>188</v>
      </c>
      <c r="B123" s="18"/>
      <c r="C123" s="18" t="s">
        <v>189</v>
      </c>
      <c r="D123" s="18"/>
      <c r="E123" s="24" t="s">
        <v>14</v>
      </c>
      <c r="F123" s="20" t="n">
        <v>475000</v>
      </c>
      <c r="G123" s="20" t="n">
        <v>0</v>
      </c>
      <c r="H123" s="20" t="n">
        <v>475000</v>
      </c>
      <c r="I123" s="20" t="n">
        <v>0</v>
      </c>
      <c r="J123" s="20" t="n">
        <v>0</v>
      </c>
      <c r="K123" s="20" t="n">
        <v>0</v>
      </c>
      <c r="L123" s="20" t="n">
        <v>0</v>
      </c>
      <c r="M123" s="21" t="n">
        <f aca="false">SUM(I123:L123)</f>
        <v>0</v>
      </c>
      <c r="N123" s="20" t="n">
        <v>0</v>
      </c>
      <c r="O123" s="20" t="n">
        <v>0</v>
      </c>
      <c r="P123" s="21" t="n">
        <f aca="false">F123-M123</f>
        <v>475000</v>
      </c>
    </row>
    <row r="124" customFormat="false" ht="15" hidden="false" customHeight="true" outlineLevel="0" collapsed="false">
      <c r="A124" s="17" t="s">
        <v>190</v>
      </c>
      <c r="B124" s="18"/>
      <c r="C124" s="18" t="s">
        <v>189</v>
      </c>
      <c r="D124" s="18"/>
      <c r="E124" s="24" t="s">
        <v>14</v>
      </c>
      <c r="F124" s="20" t="n">
        <v>475000</v>
      </c>
      <c r="G124" s="20" t="n">
        <v>0</v>
      </c>
      <c r="H124" s="20" t="n">
        <v>475000</v>
      </c>
      <c r="I124" s="20" t="n">
        <v>0</v>
      </c>
      <c r="J124" s="20" t="n">
        <v>0</v>
      </c>
      <c r="K124" s="20" t="n">
        <v>0</v>
      </c>
      <c r="L124" s="20" t="n">
        <v>0</v>
      </c>
      <c r="M124" s="21" t="n">
        <f aca="false">SUM(I124:L124)</f>
        <v>0</v>
      </c>
      <c r="N124" s="20" t="n">
        <v>0</v>
      </c>
      <c r="O124" s="20" t="n">
        <v>0</v>
      </c>
      <c r="P124" s="21" t="n">
        <f aca="false">F124-M124</f>
        <v>475000</v>
      </c>
    </row>
    <row r="125" customFormat="false" ht="15" hidden="false" customHeight="true" outlineLevel="0" collapsed="false">
      <c r="A125" s="17" t="s">
        <v>191</v>
      </c>
      <c r="B125" s="18"/>
      <c r="C125" s="18" t="s">
        <v>189</v>
      </c>
      <c r="D125" s="18"/>
      <c r="E125" s="24" t="s">
        <v>14</v>
      </c>
      <c r="F125" s="20" t="n">
        <v>475000</v>
      </c>
      <c r="G125" s="20" t="n">
        <v>0</v>
      </c>
      <c r="H125" s="20" t="n">
        <v>475000</v>
      </c>
      <c r="I125" s="20" t="n">
        <v>0</v>
      </c>
      <c r="J125" s="20" t="n">
        <v>0</v>
      </c>
      <c r="K125" s="20" t="n">
        <v>0</v>
      </c>
      <c r="L125" s="20" t="n">
        <v>0</v>
      </c>
      <c r="M125" s="21" t="n">
        <f aca="false">SUM(I125:L125)</f>
        <v>0</v>
      </c>
      <c r="N125" s="20" t="n">
        <v>0</v>
      </c>
      <c r="O125" s="20" t="n">
        <v>0</v>
      </c>
      <c r="P125" s="21" t="n">
        <f aca="false">F125-M125</f>
        <v>475000</v>
      </c>
    </row>
    <row r="126" customFormat="false" ht="15" hidden="false" customHeight="true" outlineLevel="0" collapsed="false">
      <c r="A126" s="17" t="s">
        <v>192</v>
      </c>
      <c r="B126" s="18"/>
      <c r="C126" s="18" t="s">
        <v>189</v>
      </c>
      <c r="D126" s="18"/>
      <c r="E126" s="24" t="s">
        <v>14</v>
      </c>
      <c r="F126" s="20" t="n">
        <v>475000</v>
      </c>
      <c r="G126" s="20" t="n">
        <v>0</v>
      </c>
      <c r="H126" s="20" t="n">
        <v>475000</v>
      </c>
      <c r="I126" s="20" t="n">
        <v>0</v>
      </c>
      <c r="J126" s="20" t="n">
        <v>0</v>
      </c>
      <c r="K126" s="20" t="n">
        <v>0</v>
      </c>
      <c r="L126" s="20" t="n">
        <v>0</v>
      </c>
      <c r="M126" s="21" t="n">
        <f aca="false">SUM(I126:L126)</f>
        <v>0</v>
      </c>
      <c r="N126" s="20" t="n">
        <v>0</v>
      </c>
      <c r="O126" s="20" t="n">
        <v>0</v>
      </c>
      <c r="P126" s="21" t="n">
        <f aca="false">F126-M126</f>
        <v>475000</v>
      </c>
    </row>
    <row r="127" customFormat="false" ht="15" hidden="false" customHeight="true" outlineLevel="0" collapsed="false">
      <c r="A127" s="17" t="s">
        <v>193</v>
      </c>
      <c r="B127" s="18" t="s">
        <v>70</v>
      </c>
      <c r="C127" s="18" t="s">
        <v>52</v>
      </c>
      <c r="D127" s="18"/>
      <c r="E127" s="24" t="s">
        <v>14</v>
      </c>
      <c r="F127" s="20" t="n">
        <v>470000</v>
      </c>
      <c r="G127" s="20" t="n">
        <v>0</v>
      </c>
      <c r="H127" s="20" t="n">
        <v>470000</v>
      </c>
      <c r="I127" s="20" t="n">
        <v>0</v>
      </c>
      <c r="J127" s="20" t="n">
        <v>0</v>
      </c>
      <c r="K127" s="20" t="n">
        <v>0</v>
      </c>
      <c r="L127" s="20" t="n">
        <v>0</v>
      </c>
      <c r="M127" s="21" t="n">
        <f aca="false">SUM(I127:L127)</f>
        <v>0</v>
      </c>
      <c r="N127" s="20" t="n">
        <v>0</v>
      </c>
      <c r="O127" s="20" t="n">
        <v>0</v>
      </c>
      <c r="P127" s="21" t="n">
        <f aca="false">F127-M127</f>
        <v>470000</v>
      </c>
    </row>
    <row r="128" customFormat="false" ht="15" hidden="false" customHeight="true" outlineLevel="0" collapsed="false">
      <c r="A128" s="18" t="s">
        <v>194</v>
      </c>
      <c r="B128" s="18"/>
      <c r="C128" s="18" t="s">
        <v>195</v>
      </c>
      <c r="D128" s="18"/>
      <c r="E128" s="24" t="s">
        <v>14</v>
      </c>
      <c r="F128" s="20" t="n">
        <v>420000</v>
      </c>
      <c r="G128" s="20" t="n">
        <v>0</v>
      </c>
      <c r="H128" s="20" t="n">
        <v>420000</v>
      </c>
      <c r="I128" s="20" t="n">
        <v>0</v>
      </c>
      <c r="J128" s="20" t="n">
        <v>0</v>
      </c>
      <c r="K128" s="20" t="n">
        <v>0</v>
      </c>
      <c r="L128" s="20" t="n">
        <v>0</v>
      </c>
      <c r="M128" s="21" t="n">
        <f aca="false">SUM(I128:L128)</f>
        <v>0</v>
      </c>
      <c r="N128" s="20" t="n">
        <v>0</v>
      </c>
      <c r="O128" s="20" t="n">
        <v>0</v>
      </c>
      <c r="P128" s="21" t="n">
        <f aca="false">F128-M128</f>
        <v>420000</v>
      </c>
    </row>
    <row r="129" customFormat="false" ht="15" hidden="false" customHeight="true" outlineLevel="0" collapsed="false">
      <c r="A129" s="17" t="s">
        <v>196</v>
      </c>
      <c r="B129" s="18"/>
      <c r="C129" s="18" t="s">
        <v>195</v>
      </c>
      <c r="D129" s="18"/>
      <c r="E129" s="24" t="s">
        <v>14</v>
      </c>
      <c r="F129" s="20" t="n">
        <v>420000</v>
      </c>
      <c r="G129" s="20" t="n">
        <v>0</v>
      </c>
      <c r="H129" s="20" t="n">
        <v>420000</v>
      </c>
      <c r="I129" s="20" t="n">
        <v>0</v>
      </c>
      <c r="J129" s="20" t="n">
        <v>0</v>
      </c>
      <c r="K129" s="20" t="n">
        <v>0</v>
      </c>
      <c r="L129" s="20" t="n">
        <v>0</v>
      </c>
      <c r="M129" s="21" t="n">
        <f aca="false">SUM(I129:L129)</f>
        <v>0</v>
      </c>
      <c r="N129" s="20" t="n">
        <v>0</v>
      </c>
      <c r="O129" s="20" t="n">
        <v>0</v>
      </c>
      <c r="P129" s="21" t="n">
        <f aca="false">F129-M129</f>
        <v>420000</v>
      </c>
    </row>
    <row r="130" customFormat="false" ht="15" hidden="false" customHeight="true" outlineLevel="0" collapsed="false">
      <c r="A130" s="17" t="s">
        <v>197</v>
      </c>
      <c r="B130" s="18"/>
      <c r="C130" s="18" t="s">
        <v>195</v>
      </c>
      <c r="D130" s="18"/>
      <c r="E130" s="24" t="s">
        <v>14</v>
      </c>
      <c r="F130" s="20" t="n">
        <v>420000</v>
      </c>
      <c r="G130" s="20" t="n">
        <v>0</v>
      </c>
      <c r="H130" s="20" t="n">
        <v>420000</v>
      </c>
      <c r="I130" s="20" t="n">
        <v>0</v>
      </c>
      <c r="J130" s="20" t="n">
        <v>0</v>
      </c>
      <c r="K130" s="20" t="n">
        <v>0</v>
      </c>
      <c r="L130" s="20" t="n">
        <v>0</v>
      </c>
      <c r="M130" s="21" t="n">
        <f aca="false">SUM(I130:L130)</f>
        <v>0</v>
      </c>
      <c r="N130" s="20" t="n">
        <v>0</v>
      </c>
      <c r="O130" s="20" t="n">
        <v>0</v>
      </c>
      <c r="P130" s="21" t="n">
        <f aca="false">F130-M130</f>
        <v>420000</v>
      </c>
    </row>
    <row r="131" customFormat="false" ht="15" hidden="false" customHeight="true" outlineLevel="0" collapsed="false">
      <c r="A131" s="17" t="s">
        <v>198</v>
      </c>
      <c r="B131" s="18"/>
      <c r="C131" s="18" t="s">
        <v>199</v>
      </c>
      <c r="D131" s="18"/>
      <c r="E131" s="24" t="s">
        <v>14</v>
      </c>
      <c r="F131" s="20" t="n">
        <v>300000</v>
      </c>
      <c r="G131" s="20" t="n">
        <v>0</v>
      </c>
      <c r="H131" s="20" t="n">
        <v>300000</v>
      </c>
      <c r="I131" s="20" t="n">
        <v>0</v>
      </c>
      <c r="J131" s="20" t="n">
        <v>0</v>
      </c>
      <c r="K131" s="20" t="n">
        <v>0</v>
      </c>
      <c r="L131" s="20" t="n">
        <v>0</v>
      </c>
      <c r="M131" s="21" t="n">
        <f aca="false">SUM(I131:L131)</f>
        <v>0</v>
      </c>
      <c r="N131" s="20" t="n">
        <v>0</v>
      </c>
      <c r="O131" s="20" t="n">
        <v>0</v>
      </c>
      <c r="P131" s="21" t="n">
        <f aca="false">F131-M131</f>
        <v>300000</v>
      </c>
    </row>
    <row r="132" customFormat="false" ht="15" hidden="false" customHeight="true" outlineLevel="0" collapsed="false">
      <c r="A132" s="17" t="s">
        <v>200</v>
      </c>
      <c r="B132" s="18"/>
      <c r="C132" s="18" t="s">
        <v>201</v>
      </c>
      <c r="D132" s="18"/>
      <c r="E132" s="24" t="s">
        <v>14</v>
      </c>
      <c r="F132" s="20" t="n">
        <v>300000</v>
      </c>
      <c r="G132" s="20" t="n">
        <v>0</v>
      </c>
      <c r="H132" s="20" t="n">
        <v>300000</v>
      </c>
      <c r="I132" s="20" t="n">
        <v>0</v>
      </c>
      <c r="J132" s="20" t="n">
        <v>0</v>
      </c>
      <c r="K132" s="20" t="n">
        <v>0</v>
      </c>
      <c r="L132" s="20" t="n">
        <v>0</v>
      </c>
      <c r="M132" s="21" t="n">
        <f aca="false">SUM(I132:L132)</f>
        <v>0</v>
      </c>
      <c r="N132" s="20" t="n">
        <v>0</v>
      </c>
      <c r="O132" s="20" t="n">
        <v>0</v>
      </c>
      <c r="P132" s="21" t="n">
        <f aca="false">F132-M132</f>
        <v>300000</v>
      </c>
    </row>
    <row r="133" customFormat="false" ht="15" hidden="false" customHeight="true" outlineLevel="0" collapsed="false">
      <c r="A133" s="17" t="s">
        <v>202</v>
      </c>
      <c r="B133" s="18"/>
      <c r="C133" s="18" t="s">
        <v>199</v>
      </c>
      <c r="D133" s="18"/>
      <c r="E133" s="24" t="s">
        <v>14</v>
      </c>
      <c r="F133" s="20" t="n">
        <v>300000</v>
      </c>
      <c r="G133" s="20" t="n">
        <v>0</v>
      </c>
      <c r="H133" s="20" t="n">
        <v>300000</v>
      </c>
      <c r="I133" s="20" t="n">
        <v>0</v>
      </c>
      <c r="J133" s="20" t="n">
        <v>0</v>
      </c>
      <c r="K133" s="20" t="n">
        <v>0</v>
      </c>
      <c r="L133" s="20" t="n">
        <v>0</v>
      </c>
      <c r="M133" s="21" t="n">
        <f aca="false">SUM(I133:L133)</f>
        <v>0</v>
      </c>
      <c r="N133" s="20" t="n">
        <v>0</v>
      </c>
      <c r="O133" s="20" t="n">
        <v>0</v>
      </c>
      <c r="P133" s="21" t="n">
        <f aca="false">F133-M133</f>
        <v>300000</v>
      </c>
    </row>
    <row r="134" customFormat="false" ht="15" hidden="false" customHeight="true" outlineLevel="0" collapsed="false">
      <c r="A134" s="17" t="s">
        <v>203</v>
      </c>
      <c r="B134" s="18"/>
      <c r="C134" s="18" t="s">
        <v>204</v>
      </c>
      <c r="D134" s="18"/>
      <c r="E134" s="24" t="s">
        <v>14</v>
      </c>
      <c r="F134" s="20" t="n">
        <v>300000</v>
      </c>
      <c r="G134" s="20" t="n">
        <v>0</v>
      </c>
      <c r="H134" s="20" t="n">
        <v>300000</v>
      </c>
      <c r="I134" s="20" t="n">
        <v>0</v>
      </c>
      <c r="J134" s="20" t="n">
        <v>0</v>
      </c>
      <c r="K134" s="20" t="n">
        <v>0</v>
      </c>
      <c r="L134" s="20" t="n">
        <v>0</v>
      </c>
      <c r="M134" s="21" t="n">
        <f aca="false">SUM(I134:L134)</f>
        <v>0</v>
      </c>
      <c r="N134" s="20" t="n">
        <v>0</v>
      </c>
      <c r="O134" s="20" t="n">
        <v>0</v>
      </c>
      <c r="P134" s="21" t="n">
        <f aca="false">F134-M134</f>
        <v>300000</v>
      </c>
    </row>
    <row r="135" customFormat="false" ht="15" hidden="false" customHeight="true" outlineLevel="0" collapsed="false">
      <c r="A135" s="17" t="s">
        <v>205</v>
      </c>
      <c r="B135" s="18"/>
      <c r="C135" s="18" t="s">
        <v>204</v>
      </c>
      <c r="D135" s="18"/>
      <c r="E135" s="24" t="s">
        <v>14</v>
      </c>
      <c r="F135" s="20" t="n">
        <v>300000</v>
      </c>
      <c r="G135" s="20" t="n">
        <v>0</v>
      </c>
      <c r="H135" s="20" t="n">
        <v>300000</v>
      </c>
      <c r="I135" s="20" t="n">
        <v>0</v>
      </c>
      <c r="J135" s="20" t="n">
        <v>0</v>
      </c>
      <c r="K135" s="20" t="n">
        <v>0</v>
      </c>
      <c r="L135" s="20" t="n">
        <v>0</v>
      </c>
      <c r="M135" s="21" t="n">
        <f aca="false">SUM(I135:L135)</f>
        <v>0</v>
      </c>
      <c r="N135" s="20" t="n">
        <v>0</v>
      </c>
      <c r="O135" s="20" t="n">
        <v>0</v>
      </c>
      <c r="P135" s="21" t="n">
        <f aca="false">F135-M135</f>
        <v>300000</v>
      </c>
    </row>
    <row r="136" customFormat="false" ht="15" hidden="false" customHeight="true" outlineLevel="0" collapsed="false">
      <c r="A136" s="17" t="s">
        <v>206</v>
      </c>
      <c r="B136" s="18"/>
      <c r="C136" s="18" t="s">
        <v>201</v>
      </c>
      <c r="D136" s="18"/>
      <c r="E136" s="24" t="s">
        <v>14</v>
      </c>
      <c r="F136" s="20" t="n">
        <v>300000</v>
      </c>
      <c r="G136" s="20" t="n">
        <v>0</v>
      </c>
      <c r="H136" s="20" t="n">
        <v>300000</v>
      </c>
      <c r="I136" s="20" t="n">
        <v>0</v>
      </c>
      <c r="J136" s="20" t="n">
        <v>0</v>
      </c>
      <c r="K136" s="20" t="n">
        <v>0</v>
      </c>
      <c r="L136" s="20" t="n">
        <v>0</v>
      </c>
      <c r="M136" s="21" t="n">
        <f aca="false">SUM(I136:L136)</f>
        <v>0</v>
      </c>
      <c r="N136" s="20" t="n">
        <v>0</v>
      </c>
      <c r="O136" s="20" t="n">
        <v>0</v>
      </c>
      <c r="P136" s="21" t="n">
        <f aca="false">F136-M136</f>
        <v>300000</v>
      </c>
    </row>
    <row r="137" customFormat="false" ht="15" hidden="false" customHeight="true" outlineLevel="0" collapsed="false">
      <c r="A137" s="17" t="s">
        <v>207</v>
      </c>
      <c r="B137" s="18" t="s">
        <v>64</v>
      </c>
      <c r="C137" s="18" t="s">
        <v>65</v>
      </c>
      <c r="D137" s="18"/>
      <c r="E137" s="25" t="s">
        <v>16</v>
      </c>
      <c r="F137" s="20" t="n">
        <v>700700</v>
      </c>
      <c r="G137" s="20" t="n">
        <v>200000</v>
      </c>
      <c r="H137" s="20" t="n">
        <v>500700</v>
      </c>
      <c r="I137" s="20" t="n">
        <v>200000</v>
      </c>
      <c r="J137" s="20" t="n">
        <v>191000</v>
      </c>
      <c r="K137" s="20" t="n">
        <v>0</v>
      </c>
      <c r="L137" s="20" t="n">
        <v>325000</v>
      </c>
      <c r="M137" s="21" t="n">
        <f aca="false">SUM(I137:L137)</f>
        <v>716000</v>
      </c>
      <c r="N137" s="20" t="n">
        <v>0</v>
      </c>
      <c r="O137" s="20" t="n">
        <v>100000</v>
      </c>
      <c r="P137" s="21" t="n">
        <f aca="false">F137-M137</f>
        <v>-15300</v>
      </c>
    </row>
    <row r="138" customFormat="false" ht="15" hidden="false" customHeight="true" outlineLevel="0" collapsed="false">
      <c r="A138" s="17" t="s">
        <v>208</v>
      </c>
      <c r="B138" s="18" t="s">
        <v>73</v>
      </c>
      <c r="C138" s="18" t="s">
        <v>55</v>
      </c>
      <c r="D138" s="18"/>
      <c r="E138" s="25" t="s">
        <v>16</v>
      </c>
      <c r="F138" s="20" t="n">
        <v>701000</v>
      </c>
      <c r="G138" s="20" t="n">
        <v>200000</v>
      </c>
      <c r="H138" s="20" t="n">
        <v>501000</v>
      </c>
      <c r="I138" s="20" t="n">
        <v>200000</v>
      </c>
      <c r="J138" s="20" t="n">
        <v>191000</v>
      </c>
      <c r="K138" s="20" t="n">
        <v>0</v>
      </c>
      <c r="L138" s="20" t="n">
        <v>450000</v>
      </c>
      <c r="M138" s="21" t="n">
        <f aca="false">SUM(I138:L138)</f>
        <v>841000</v>
      </c>
      <c r="N138" s="20" t="n">
        <v>0</v>
      </c>
      <c r="O138" s="20" t="n">
        <v>0</v>
      </c>
      <c r="P138" s="21" t="n">
        <f aca="false">F138-M138</f>
        <v>-140000</v>
      </c>
    </row>
    <row r="139" customFormat="false" ht="15" hidden="false" customHeight="true" outlineLevel="0" collapsed="false">
      <c r="A139" s="17" t="s">
        <v>209</v>
      </c>
      <c r="B139" s="18" t="s">
        <v>51</v>
      </c>
      <c r="C139" s="18" t="s">
        <v>52</v>
      </c>
      <c r="D139" s="18"/>
      <c r="E139" s="25" t="s">
        <v>16</v>
      </c>
      <c r="F139" s="20" t="n">
        <v>890000</v>
      </c>
      <c r="G139" s="20" t="n">
        <v>100000</v>
      </c>
      <c r="H139" s="20" t="n">
        <v>180000</v>
      </c>
      <c r="I139" s="20" t="n">
        <v>100000</v>
      </c>
      <c r="J139" s="20" t="n">
        <v>0</v>
      </c>
      <c r="K139" s="20" t="n">
        <v>220000</v>
      </c>
      <c r="L139" s="20" t="n">
        <v>910000</v>
      </c>
      <c r="M139" s="21" t="n">
        <f aca="false">SUM(I139:L139)</f>
        <v>1230000</v>
      </c>
      <c r="N139" s="20" t="n">
        <v>170000</v>
      </c>
      <c r="O139" s="20" t="n">
        <v>172000</v>
      </c>
      <c r="P139" s="21" t="n">
        <f aca="false">F139-M139</f>
        <v>-340000</v>
      </c>
    </row>
    <row r="140" customFormat="false" ht="15" hidden="false" customHeight="true" outlineLevel="0" collapsed="false">
      <c r="A140" s="17" t="s">
        <v>210</v>
      </c>
      <c r="B140" s="18" t="s">
        <v>58</v>
      </c>
      <c r="C140" s="18" t="s">
        <v>59</v>
      </c>
      <c r="D140" s="18"/>
      <c r="E140" s="25" t="s">
        <v>16</v>
      </c>
      <c r="F140" s="20" t="n">
        <v>601700</v>
      </c>
      <c r="G140" s="20" t="n">
        <v>100000</v>
      </c>
      <c r="H140" s="20" t="n">
        <v>501700</v>
      </c>
      <c r="I140" s="20" t="n">
        <v>100000</v>
      </c>
      <c r="J140" s="20" t="n">
        <v>0</v>
      </c>
      <c r="K140" s="20" t="n">
        <v>0</v>
      </c>
      <c r="L140" s="20" t="n">
        <v>1500000</v>
      </c>
      <c r="M140" s="21" t="n">
        <f aca="false">SUM(I140:L140)</f>
        <v>1600000</v>
      </c>
      <c r="N140" s="20" t="n">
        <v>201700</v>
      </c>
      <c r="O140" s="20" t="n">
        <v>0</v>
      </c>
      <c r="P140" s="21" t="n">
        <f aca="false">F140-M140</f>
        <v>-998300</v>
      </c>
    </row>
    <row r="141" customFormat="false" ht="15" hidden="false" customHeight="true" outlineLevel="0" collapsed="false">
      <c r="A141" s="17" t="s">
        <v>211</v>
      </c>
      <c r="B141" s="18"/>
      <c r="C141" s="18"/>
      <c r="D141" s="18"/>
      <c r="E141" s="26" t="s">
        <v>18</v>
      </c>
      <c r="F141" s="20" t="n">
        <v>0</v>
      </c>
      <c r="G141" s="20" t="n">
        <v>0</v>
      </c>
      <c r="H141" s="20" t="n">
        <v>0</v>
      </c>
      <c r="I141" s="20" t="n">
        <v>0</v>
      </c>
      <c r="J141" s="20" t="n">
        <v>0</v>
      </c>
      <c r="K141" s="20" t="n">
        <v>0</v>
      </c>
      <c r="L141" s="20" t="n">
        <v>0</v>
      </c>
      <c r="M141" s="21" t="n">
        <f aca="false">SUM(I141:L141)</f>
        <v>0</v>
      </c>
      <c r="N141" s="20" t="n">
        <v>100000</v>
      </c>
      <c r="O141" s="20" t="n">
        <v>0</v>
      </c>
      <c r="P141" s="21" t="n">
        <f aca="false">F141-M141</f>
        <v>0</v>
      </c>
    </row>
    <row r="142" customFormat="false" ht="15" hidden="false" customHeight="true" outlineLevel="0" collapsed="false">
      <c r="A142" s="17" t="s">
        <v>212</v>
      </c>
      <c r="B142" s="18"/>
      <c r="C142" s="18"/>
      <c r="D142" s="18"/>
      <c r="E142" s="26" t="s">
        <v>18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M142" s="21" t="n">
        <f aca="false">SUM(I142:L142)</f>
        <v>0</v>
      </c>
      <c r="N142" s="20" t="n">
        <v>85000</v>
      </c>
      <c r="O142" s="20" t="n">
        <v>0</v>
      </c>
      <c r="P142" s="21" t="n">
        <f aca="false">F142-M142</f>
        <v>0</v>
      </c>
    </row>
    <row r="143" customFormat="false" ht="15" hidden="false" customHeight="true" outlineLevel="0" collapsed="false">
      <c r="A143" s="17" t="s">
        <v>213</v>
      </c>
      <c r="B143" s="18"/>
      <c r="C143" s="18"/>
      <c r="D143" s="18"/>
      <c r="E143" s="26" t="s">
        <v>18</v>
      </c>
      <c r="F143" s="20" t="n">
        <v>0</v>
      </c>
      <c r="G143" s="20" t="n">
        <v>0</v>
      </c>
      <c r="H143" s="20" t="n">
        <v>0</v>
      </c>
      <c r="I143" s="20" t="n">
        <v>8000</v>
      </c>
      <c r="J143" s="20" t="n">
        <v>0</v>
      </c>
      <c r="K143" s="20" t="n">
        <v>0</v>
      </c>
      <c r="L143" s="20" t="n">
        <v>0</v>
      </c>
      <c r="M143" s="21" t="n">
        <f aca="false">SUM(I143:L143)</f>
        <v>8000</v>
      </c>
      <c r="N143" s="20" t="n">
        <v>0</v>
      </c>
      <c r="O143" s="20" t="n">
        <v>0</v>
      </c>
      <c r="P143" s="21" t="n">
        <f aca="false">F143-M143</f>
        <v>-8000</v>
      </c>
    </row>
    <row r="144" customFormat="false" ht="15" hidden="false" customHeight="true" outlineLevel="0" collapsed="false">
      <c r="A144" s="17" t="s">
        <v>214</v>
      </c>
      <c r="B144" s="18"/>
      <c r="C144" s="18"/>
      <c r="D144" s="18"/>
      <c r="E144" s="26" t="s">
        <v>18</v>
      </c>
      <c r="F144" s="20" t="n">
        <v>0</v>
      </c>
      <c r="G144" s="20" t="n">
        <v>0</v>
      </c>
      <c r="H144" s="20" t="n">
        <v>0</v>
      </c>
      <c r="I144" s="20" t="n">
        <v>8000</v>
      </c>
      <c r="J144" s="20" t="n">
        <v>0</v>
      </c>
      <c r="K144" s="20" t="n">
        <v>0</v>
      </c>
      <c r="L144" s="20" t="n">
        <v>0</v>
      </c>
      <c r="M144" s="21" t="n">
        <f aca="false">SUM(I144:L144)</f>
        <v>8000</v>
      </c>
      <c r="N144" s="20" t="n">
        <v>0</v>
      </c>
      <c r="O144" s="20" t="n">
        <v>0</v>
      </c>
      <c r="P144" s="21" t="n">
        <f aca="false">F144-M144</f>
        <v>-8000</v>
      </c>
    </row>
    <row r="145" customFormat="false" ht="15" hidden="false" customHeight="true" outlineLevel="0" collapsed="false">
      <c r="A145" s="17" t="s">
        <v>215</v>
      </c>
      <c r="B145" s="18"/>
      <c r="C145" s="18"/>
      <c r="D145" s="18"/>
      <c r="E145" s="26" t="s">
        <v>18</v>
      </c>
      <c r="F145" s="20" t="n">
        <v>0</v>
      </c>
      <c r="G145" s="20" t="n">
        <v>0</v>
      </c>
      <c r="H145" s="20" t="n">
        <v>0</v>
      </c>
      <c r="I145" s="20" t="n">
        <v>8000</v>
      </c>
      <c r="J145" s="20" t="n">
        <v>0</v>
      </c>
      <c r="K145" s="20" t="n">
        <v>0</v>
      </c>
      <c r="L145" s="20" t="n">
        <v>0</v>
      </c>
      <c r="M145" s="21" t="n">
        <f aca="false">SUM(I145:L145)</f>
        <v>8000</v>
      </c>
      <c r="N145" s="20" t="n">
        <v>0</v>
      </c>
      <c r="O145" s="20" t="n">
        <v>116000</v>
      </c>
      <c r="P145" s="21" t="n">
        <f aca="false">F145-M145</f>
        <v>-8000</v>
      </c>
    </row>
    <row r="146" customFormat="false" ht="15" hidden="false" customHeight="true" outlineLevel="0" collapsed="false">
      <c r="A146" s="17" t="s">
        <v>216</v>
      </c>
      <c r="B146" s="18"/>
      <c r="C146" s="18"/>
      <c r="D146" s="18"/>
      <c r="E146" s="26" t="s">
        <v>18</v>
      </c>
      <c r="F146" s="20" t="n">
        <v>0</v>
      </c>
      <c r="G146" s="20" t="n">
        <v>0</v>
      </c>
      <c r="H146" s="20" t="n">
        <v>0</v>
      </c>
      <c r="I146" s="20" t="n">
        <v>8000</v>
      </c>
      <c r="J146" s="20" t="n">
        <v>0</v>
      </c>
      <c r="K146" s="20" t="n">
        <v>0</v>
      </c>
      <c r="L146" s="20" t="n">
        <v>0</v>
      </c>
      <c r="M146" s="21" t="n">
        <f aca="false">SUM(I146:L146)</f>
        <v>8000</v>
      </c>
      <c r="N146" s="20" t="n">
        <v>0</v>
      </c>
      <c r="O146" s="20" t="n">
        <v>8000</v>
      </c>
      <c r="P146" s="21" t="n">
        <f aca="false">F146-M146</f>
        <v>-8000</v>
      </c>
    </row>
    <row r="147" customFormat="false" ht="15" hidden="false" customHeight="true" outlineLevel="0" collapsed="false">
      <c r="A147" s="17" t="s">
        <v>217</v>
      </c>
      <c r="B147" s="18"/>
      <c r="C147" s="18"/>
      <c r="D147" s="18"/>
      <c r="E147" s="26" t="s">
        <v>18</v>
      </c>
      <c r="F147" s="20" t="n">
        <v>0</v>
      </c>
      <c r="G147" s="20" t="n">
        <v>0</v>
      </c>
      <c r="H147" s="20" t="n">
        <v>0</v>
      </c>
      <c r="I147" s="20" t="n">
        <v>8000</v>
      </c>
      <c r="J147" s="20" t="n">
        <v>0</v>
      </c>
      <c r="K147" s="20" t="n">
        <v>0</v>
      </c>
      <c r="L147" s="20" t="n">
        <v>0</v>
      </c>
      <c r="M147" s="21" t="n">
        <f aca="false">SUM(I147:L147)</f>
        <v>8000</v>
      </c>
      <c r="N147" s="20" t="n">
        <v>0</v>
      </c>
      <c r="O147" s="20" t="n">
        <v>0</v>
      </c>
      <c r="P147" s="21" t="n">
        <f aca="false">F147-M147</f>
        <v>-8000</v>
      </c>
    </row>
    <row r="148" customFormat="false" ht="15" hidden="false" customHeight="true" outlineLevel="0" collapsed="false">
      <c r="A148" s="17" t="s">
        <v>218</v>
      </c>
      <c r="B148" s="18"/>
      <c r="C148" s="18"/>
      <c r="D148" s="18"/>
      <c r="E148" s="26" t="s">
        <v>18</v>
      </c>
      <c r="F148" s="20" t="n">
        <v>0</v>
      </c>
      <c r="G148" s="20" t="n">
        <v>0</v>
      </c>
      <c r="H148" s="20" t="n">
        <v>0</v>
      </c>
      <c r="I148" s="20" t="n">
        <v>16000</v>
      </c>
      <c r="J148" s="20" t="n">
        <v>0</v>
      </c>
      <c r="K148" s="20" t="n">
        <v>0</v>
      </c>
      <c r="L148" s="20" t="n">
        <v>0</v>
      </c>
      <c r="M148" s="21" t="n">
        <f aca="false">SUM(I148:L148)</f>
        <v>16000</v>
      </c>
      <c r="N148" s="20" t="n">
        <v>0</v>
      </c>
      <c r="O148" s="20" t="n">
        <v>0</v>
      </c>
      <c r="P148" s="21" t="n">
        <f aca="false">F148-M148</f>
        <v>-16000</v>
      </c>
    </row>
    <row r="149" customFormat="false" ht="15" hidden="false" customHeight="true" outlineLevel="0" collapsed="false">
      <c r="A149" s="17" t="s">
        <v>219</v>
      </c>
      <c r="B149" s="18"/>
      <c r="C149" s="18"/>
      <c r="D149" s="18"/>
      <c r="E149" s="26" t="s">
        <v>18</v>
      </c>
      <c r="F149" s="20" t="n">
        <v>0</v>
      </c>
      <c r="G149" s="20" t="n">
        <v>0</v>
      </c>
      <c r="H149" s="20" t="n">
        <v>0</v>
      </c>
      <c r="I149" s="20" t="n">
        <v>91000</v>
      </c>
      <c r="J149" s="20" t="n">
        <v>0</v>
      </c>
      <c r="K149" s="20" t="n">
        <v>0</v>
      </c>
      <c r="L149" s="20" t="n">
        <v>0</v>
      </c>
      <c r="M149" s="21" t="n">
        <f aca="false">SUM(I149:L149)</f>
        <v>91000</v>
      </c>
      <c r="N149" s="20" t="n">
        <v>0</v>
      </c>
      <c r="O149" s="20" t="n">
        <v>0</v>
      </c>
      <c r="P149" s="21" t="n">
        <f aca="false">F149-M149</f>
        <v>-91000</v>
      </c>
    </row>
    <row r="150" customFormat="false" ht="15" hidden="false" customHeight="true" outlineLevel="0" collapsed="false">
      <c r="A150" s="17" t="s">
        <v>220</v>
      </c>
      <c r="B150" s="18"/>
      <c r="C150" s="18"/>
      <c r="D150" s="18"/>
      <c r="E150" s="26" t="s">
        <v>18</v>
      </c>
      <c r="F150" s="20" t="n">
        <v>0</v>
      </c>
      <c r="G150" s="20" t="n">
        <v>0</v>
      </c>
      <c r="H150" s="20" t="n">
        <v>0</v>
      </c>
      <c r="I150" s="20" t="n">
        <v>100000</v>
      </c>
      <c r="J150" s="20" t="n">
        <v>0</v>
      </c>
      <c r="K150" s="20" t="n">
        <v>0</v>
      </c>
      <c r="L150" s="20" t="n">
        <v>0</v>
      </c>
      <c r="M150" s="21" t="n">
        <f aca="false">SUM(I150:L150)</f>
        <v>100000</v>
      </c>
      <c r="N150" s="20" t="n">
        <v>160000</v>
      </c>
      <c r="O150" s="20" t="n">
        <v>0</v>
      </c>
      <c r="P150" s="21" t="n">
        <f aca="false">F150-M150</f>
        <v>-100000</v>
      </c>
    </row>
    <row r="151" customFormat="false" ht="15" hidden="false" customHeight="true" outlineLevel="0" collapsed="false">
      <c r="A151" s="17" t="s">
        <v>221</v>
      </c>
      <c r="B151" s="18"/>
      <c r="C151" s="18"/>
      <c r="D151" s="18"/>
      <c r="E151" s="26" t="s">
        <v>18</v>
      </c>
      <c r="F151" s="20" t="n">
        <v>0</v>
      </c>
      <c r="G151" s="20" t="n">
        <v>0</v>
      </c>
      <c r="H151" s="20" t="n">
        <v>0</v>
      </c>
      <c r="I151" s="20" t="n">
        <v>200000</v>
      </c>
      <c r="J151" s="20" t="n">
        <v>0</v>
      </c>
      <c r="K151" s="20" t="n">
        <v>0</v>
      </c>
      <c r="L151" s="20" t="n">
        <v>0</v>
      </c>
      <c r="M151" s="21" t="n">
        <f aca="false">SUM(I151:L151)</f>
        <v>200000</v>
      </c>
      <c r="N151" s="20" t="n">
        <v>0</v>
      </c>
      <c r="O151" s="20" t="n">
        <v>0</v>
      </c>
      <c r="P151" s="21" t="n">
        <f aca="false">F151-M151</f>
        <v>-200000</v>
      </c>
    </row>
    <row r="152" customFormat="false" ht="15" hidden="false" customHeight="true" outlineLevel="0" collapsed="false">
      <c r="A152" s="17" t="s">
        <v>222</v>
      </c>
      <c r="B152" s="18"/>
      <c r="C152" s="18"/>
      <c r="D152" s="18"/>
      <c r="E152" s="26" t="s">
        <v>18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220000</v>
      </c>
      <c r="L152" s="20" t="n">
        <v>0</v>
      </c>
      <c r="M152" s="21" t="n">
        <f aca="false">SUM(I152:L152)</f>
        <v>220000</v>
      </c>
      <c r="N152" s="20" t="n">
        <v>0</v>
      </c>
      <c r="O152" s="20" t="n">
        <v>0</v>
      </c>
      <c r="P152" s="21" t="n">
        <f aca="false">F152-M152</f>
        <v>-220000</v>
      </c>
    </row>
    <row r="153" customFormat="false" ht="15" hidden="false" customHeight="true" outlineLevel="0" collapsed="false">
      <c r="A153" s="4" t="s">
        <v>20</v>
      </c>
      <c r="F153" s="12" t="n">
        <f aca="false">SUM(F5:F152)</f>
        <v>83293200</v>
      </c>
      <c r="G153" s="12" t="n">
        <f aca="false">SUM(G5:G152)</f>
        <v>8830000</v>
      </c>
      <c r="H153" s="12" t="n">
        <f aca="false">SUM(H5:H152)</f>
        <v>69911400</v>
      </c>
      <c r="I153" s="12" t="n">
        <f aca="false">SUM(I5:I152)</f>
        <v>7177000</v>
      </c>
      <c r="J153" s="12" t="n">
        <f aca="false">SUM(J5:J152)</f>
        <v>9635900</v>
      </c>
      <c r="K153" s="12" t="n">
        <f aca="false">SUM(K5:K152)</f>
        <v>1804000</v>
      </c>
      <c r="L153" s="12" t="n">
        <f aca="false">SUM(L5:L152)</f>
        <v>4049000</v>
      </c>
      <c r="M153" s="12" t="n">
        <f aca="false">SUM(M5:M152)</f>
        <v>22665900</v>
      </c>
      <c r="N153" s="12" t="n">
        <f aca="false">SUM(N5:N152)</f>
        <v>54275600</v>
      </c>
      <c r="O153" s="12" t="n">
        <f aca="false">SUM(O5:O152)</f>
        <v>3426100</v>
      </c>
      <c r="P153" s="12" t="n">
        <f aca="false">SUM(P5:P152)</f>
        <v>60627300</v>
      </c>
      <c r="Q153" s="14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6"/>
  </cols>
  <sheetData>
    <row r="1" customFormat="false" ht="21" hidden="false" customHeight="true" outlineLevel="0" collapsed="false">
      <c r="A1" s="15" t="s">
        <v>224</v>
      </c>
    </row>
    <row r="2" customFormat="false" ht="15" hidden="false" customHeight="true" outlineLevel="0" collapsed="false">
      <c r="A2" s="3" t="s">
        <v>225</v>
      </c>
    </row>
    <row r="4" customFormat="false" ht="15" hidden="false" customHeight="true" outlineLevel="0" collapsed="false">
      <c r="A4" s="5" t="s">
        <v>226</v>
      </c>
      <c r="B4" s="5" t="s">
        <v>227</v>
      </c>
      <c r="C4" s="5" t="s">
        <v>228</v>
      </c>
      <c r="D4" s="5" t="s">
        <v>20</v>
      </c>
      <c r="E4" s="5" t="s">
        <v>229</v>
      </c>
    </row>
    <row r="5" customFormat="false" ht="15" hidden="false" customHeight="true" outlineLevel="0" collapsed="false">
      <c r="A5" s="19" t="s">
        <v>230</v>
      </c>
      <c r="B5" s="27" t="s">
        <v>231</v>
      </c>
      <c r="C5" s="27" t="n">
        <v>137</v>
      </c>
      <c r="D5" s="28" t="n">
        <v>41100000</v>
      </c>
      <c r="E5" s="19" t="s">
        <v>232</v>
      </c>
    </row>
    <row r="6" customFormat="false" ht="15" hidden="false" customHeight="true" outlineLevel="0" collapsed="false">
      <c r="A6" s="17" t="s">
        <v>233</v>
      </c>
      <c r="B6" s="17" t="s">
        <v>234</v>
      </c>
      <c r="C6" s="18" t="n">
        <v>64</v>
      </c>
      <c r="D6" s="20" t="n">
        <v>7300000</v>
      </c>
      <c r="E6" s="17" t="s">
        <v>235</v>
      </c>
    </row>
    <row r="7" customFormat="false" ht="15" hidden="false" customHeight="true" outlineLevel="0" collapsed="false">
      <c r="A7" s="17" t="s">
        <v>230</v>
      </c>
      <c r="B7" s="18" t="s">
        <v>236</v>
      </c>
      <c r="C7" s="18" t="n">
        <v>60</v>
      </c>
      <c r="D7" s="20" t="n">
        <v>3360000</v>
      </c>
      <c r="E7" s="17" t="s">
        <v>237</v>
      </c>
    </row>
    <row r="8" customFormat="false" ht="15" hidden="false" customHeight="true" outlineLevel="0" collapsed="false">
      <c r="A8" s="17" t="s">
        <v>230</v>
      </c>
      <c r="B8" s="18" t="s">
        <v>238</v>
      </c>
      <c r="C8" s="18" t="n">
        <v>82</v>
      </c>
      <c r="D8" s="20" t="n">
        <v>2829000</v>
      </c>
      <c r="E8" s="17" t="s">
        <v>237</v>
      </c>
    </row>
    <row r="9" customFormat="false" ht="15" hidden="false" customHeight="true" outlineLevel="0" collapsed="false">
      <c r="A9" s="17" t="s">
        <v>230</v>
      </c>
      <c r="B9" s="18" t="s">
        <v>239</v>
      </c>
      <c r="C9" s="18" t="n">
        <v>42</v>
      </c>
      <c r="D9" s="20" t="n">
        <v>2352000</v>
      </c>
      <c r="E9" s="17" t="s">
        <v>237</v>
      </c>
    </row>
    <row r="10" customFormat="false" ht="15" hidden="false" customHeight="true" outlineLevel="0" collapsed="false">
      <c r="A10" s="17" t="s">
        <v>230</v>
      </c>
      <c r="B10" s="18" t="s">
        <v>240</v>
      </c>
      <c r="C10" s="18" t="n">
        <v>41</v>
      </c>
      <c r="D10" s="20" t="n">
        <v>2296000</v>
      </c>
      <c r="E10" s="17" t="s">
        <v>237</v>
      </c>
    </row>
    <row r="11" customFormat="false" ht="15" hidden="false" customHeight="true" outlineLevel="0" collapsed="false">
      <c r="A11" s="17" t="s">
        <v>230</v>
      </c>
      <c r="B11" s="18" t="s">
        <v>241</v>
      </c>
      <c r="C11" s="18" t="n">
        <v>9</v>
      </c>
      <c r="D11" s="20" t="n">
        <v>2250000</v>
      </c>
      <c r="E11" s="17" t="s">
        <v>237</v>
      </c>
    </row>
    <row r="12" customFormat="false" ht="15" hidden="false" customHeight="true" outlineLevel="0" collapsed="false">
      <c r="A12" s="17" t="s">
        <v>230</v>
      </c>
      <c r="B12" s="18" t="s">
        <v>242</v>
      </c>
      <c r="C12" s="18" t="n">
        <v>41</v>
      </c>
      <c r="D12" s="20" t="n">
        <v>1968000</v>
      </c>
      <c r="E12" s="17" t="s">
        <v>237</v>
      </c>
    </row>
    <row r="13" customFormat="false" ht="15" hidden="false" customHeight="true" outlineLevel="0" collapsed="false">
      <c r="A13" s="17" t="s">
        <v>243</v>
      </c>
      <c r="B13" s="17" t="s">
        <v>244</v>
      </c>
      <c r="C13" s="18" t="n">
        <v>2</v>
      </c>
      <c r="D13" s="20" t="n">
        <v>1540000</v>
      </c>
      <c r="E13" s="17" t="s">
        <v>245</v>
      </c>
    </row>
    <row r="14" customFormat="false" ht="15" hidden="false" customHeight="true" outlineLevel="0" collapsed="false">
      <c r="A14" s="17" t="s">
        <v>230</v>
      </c>
      <c r="B14" s="18" t="s">
        <v>246</v>
      </c>
      <c r="C14" s="18" t="n">
        <v>30</v>
      </c>
      <c r="D14" s="20" t="n">
        <v>1440000</v>
      </c>
      <c r="E14" s="17" t="s">
        <v>237</v>
      </c>
    </row>
    <row r="15" customFormat="false" ht="15" hidden="false" customHeight="true" outlineLevel="0" collapsed="false">
      <c r="A15" s="17" t="s">
        <v>243</v>
      </c>
      <c r="B15" s="17" t="s">
        <v>247</v>
      </c>
      <c r="C15" s="18" t="n">
        <v>2</v>
      </c>
      <c r="D15" s="20" t="n">
        <v>1364000</v>
      </c>
      <c r="E15" s="17" t="s">
        <v>245</v>
      </c>
    </row>
    <row r="16" customFormat="false" ht="15" hidden="false" customHeight="true" outlineLevel="0" collapsed="false">
      <c r="A16" s="17" t="s">
        <v>230</v>
      </c>
      <c r="B16" s="17" t="s">
        <v>248</v>
      </c>
      <c r="C16" s="18" t="n">
        <v>129</v>
      </c>
      <c r="D16" s="20" t="n">
        <v>1304800</v>
      </c>
      <c r="E16" s="17" t="s">
        <v>237</v>
      </c>
    </row>
    <row r="17" customFormat="false" ht="15" hidden="false" customHeight="true" outlineLevel="0" collapsed="false">
      <c r="A17" s="17" t="s">
        <v>230</v>
      </c>
      <c r="B17" s="18" t="s">
        <v>249</v>
      </c>
      <c r="C17" s="18" t="n">
        <v>22</v>
      </c>
      <c r="D17" s="20" t="n">
        <v>1232000</v>
      </c>
      <c r="E17" s="17" t="s">
        <v>237</v>
      </c>
    </row>
    <row r="18" customFormat="false" ht="15" hidden="false" customHeight="true" outlineLevel="0" collapsed="false">
      <c r="A18" s="17" t="s">
        <v>243</v>
      </c>
      <c r="B18" s="17" t="s">
        <v>250</v>
      </c>
      <c r="C18" s="18" t="n">
        <v>2</v>
      </c>
      <c r="D18" s="20" t="n">
        <v>1220000</v>
      </c>
      <c r="E18" s="17" t="s">
        <v>245</v>
      </c>
    </row>
    <row r="19" customFormat="false" ht="15" hidden="false" customHeight="true" outlineLevel="0" collapsed="false">
      <c r="A19" s="17" t="s">
        <v>230</v>
      </c>
      <c r="B19" s="18" t="s">
        <v>251</v>
      </c>
      <c r="C19" s="18" t="n">
        <v>10</v>
      </c>
      <c r="D19" s="20" t="n">
        <v>1200000</v>
      </c>
      <c r="E19" s="17" t="s">
        <v>237</v>
      </c>
    </row>
    <row r="20" customFormat="false" ht="15" hidden="false" customHeight="true" outlineLevel="0" collapsed="false">
      <c r="A20" s="17" t="s">
        <v>230</v>
      </c>
      <c r="B20" s="18" t="s">
        <v>252</v>
      </c>
      <c r="C20" s="18" t="n">
        <v>9</v>
      </c>
      <c r="D20" s="20" t="n">
        <v>1080000</v>
      </c>
      <c r="E20" s="17" t="s">
        <v>237</v>
      </c>
    </row>
    <row r="21" customFormat="false" ht="15" hidden="false" customHeight="true" outlineLevel="0" collapsed="false">
      <c r="A21" s="17" t="s">
        <v>230</v>
      </c>
      <c r="B21" s="18" t="s">
        <v>253</v>
      </c>
      <c r="C21" s="18" t="n">
        <v>20</v>
      </c>
      <c r="D21" s="20" t="n">
        <v>960000</v>
      </c>
      <c r="E21" s="17" t="s">
        <v>237</v>
      </c>
    </row>
    <row r="22" customFormat="false" ht="15" hidden="false" customHeight="true" outlineLevel="0" collapsed="false">
      <c r="A22" s="17" t="s">
        <v>230</v>
      </c>
      <c r="B22" s="18" t="s">
        <v>254</v>
      </c>
      <c r="C22" s="18" t="n">
        <v>3</v>
      </c>
      <c r="D22" s="20" t="n">
        <v>840000</v>
      </c>
      <c r="E22" s="17" t="s">
        <v>237</v>
      </c>
    </row>
    <row r="23" customFormat="false" ht="15" hidden="false" customHeight="true" outlineLevel="0" collapsed="false">
      <c r="A23" s="17" t="s">
        <v>233</v>
      </c>
      <c r="B23" s="17" t="s">
        <v>255</v>
      </c>
      <c r="C23" s="18" t="n">
        <v>15</v>
      </c>
      <c r="D23" s="20" t="n">
        <v>810000</v>
      </c>
      <c r="E23" s="17" t="s">
        <v>235</v>
      </c>
    </row>
    <row r="24" customFormat="false" ht="15" hidden="false" customHeight="true" outlineLevel="0" collapsed="false">
      <c r="A24" s="17" t="s">
        <v>230</v>
      </c>
      <c r="B24" s="18" t="s">
        <v>256</v>
      </c>
      <c r="C24" s="18" t="n">
        <v>9</v>
      </c>
      <c r="D24" s="20" t="n">
        <v>585000</v>
      </c>
      <c r="E24" s="17" t="s">
        <v>237</v>
      </c>
    </row>
    <row r="25" customFormat="false" ht="15" hidden="false" customHeight="true" outlineLevel="0" collapsed="false">
      <c r="A25" s="17" t="s">
        <v>230</v>
      </c>
      <c r="B25" s="18" t="s">
        <v>257</v>
      </c>
      <c r="C25" s="18" t="n">
        <v>11</v>
      </c>
      <c r="D25" s="20" t="n">
        <v>528000</v>
      </c>
      <c r="E25" s="17" t="s">
        <v>237</v>
      </c>
    </row>
    <row r="26" customFormat="false" ht="15" hidden="false" customHeight="true" outlineLevel="0" collapsed="false">
      <c r="A26" s="17" t="s">
        <v>230</v>
      </c>
      <c r="B26" s="18" t="s">
        <v>258</v>
      </c>
      <c r="C26" s="18" t="n">
        <v>4</v>
      </c>
      <c r="D26" s="20" t="n">
        <v>480000</v>
      </c>
      <c r="E26" s="17" t="s">
        <v>237</v>
      </c>
    </row>
    <row r="27" customFormat="false" ht="15" hidden="false" customHeight="true" outlineLevel="0" collapsed="false">
      <c r="C27" s="4" t="s">
        <v>259</v>
      </c>
      <c r="D27" s="12" t="n">
        <f aca="false">SUM(D5:D26)</f>
        <v>78038800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5" min="3" style="1" width="14"/>
  </cols>
  <sheetData>
    <row r="1" customFormat="false" ht="17.25" hidden="false" customHeight="true" outlineLevel="0" collapsed="false">
      <c r="A1" s="15" t="s">
        <v>260</v>
      </c>
    </row>
    <row r="3" customFormat="false" ht="15" hidden="false" customHeight="true" outlineLevel="0" collapsed="false">
      <c r="A3" s="4" t="s">
        <v>261</v>
      </c>
    </row>
    <row r="4" customFormat="false" ht="15" hidden="false" customHeight="true" outlineLevel="0" collapsed="false">
      <c r="A4" s="3" t="s">
        <v>262</v>
      </c>
    </row>
    <row r="5" customFormat="false" ht="15" hidden="false" customHeight="true" outlineLevel="0" collapsed="false">
      <c r="A5" s="29" t="s">
        <v>36</v>
      </c>
      <c r="B5" s="29" t="s">
        <v>37</v>
      </c>
      <c r="C5" s="29" t="s">
        <v>40</v>
      </c>
      <c r="D5" s="29" t="s">
        <v>7</v>
      </c>
      <c r="E5" s="29" t="s">
        <v>263</v>
      </c>
    </row>
    <row r="6" customFormat="false" ht="15" hidden="false" customHeight="true" outlineLevel="0" collapsed="false">
      <c r="A6" s="17" t="s">
        <v>207</v>
      </c>
      <c r="B6" s="18" t="s">
        <v>64</v>
      </c>
      <c r="C6" s="20" t="n">
        <v>700700</v>
      </c>
      <c r="D6" s="20" t="n">
        <v>716000</v>
      </c>
      <c r="E6" s="20" t="n">
        <v>15300</v>
      </c>
    </row>
    <row r="7" customFormat="false" ht="15" hidden="false" customHeight="true" outlineLevel="0" collapsed="false">
      <c r="A7" s="17" t="s">
        <v>208</v>
      </c>
      <c r="B7" s="18" t="s">
        <v>73</v>
      </c>
      <c r="C7" s="20" t="n">
        <v>701000</v>
      </c>
      <c r="D7" s="20" t="n">
        <v>841000</v>
      </c>
      <c r="E7" s="20" t="n">
        <v>140000</v>
      </c>
    </row>
    <row r="8" customFormat="false" ht="15" hidden="false" customHeight="true" outlineLevel="0" collapsed="false">
      <c r="A8" s="17" t="s">
        <v>209</v>
      </c>
      <c r="B8" s="18" t="s">
        <v>51</v>
      </c>
      <c r="C8" s="20" t="n">
        <v>890000</v>
      </c>
      <c r="D8" s="20" t="n">
        <v>1230000</v>
      </c>
      <c r="E8" s="20" t="n">
        <v>340000</v>
      </c>
    </row>
    <row r="9" customFormat="false" ht="15" hidden="false" customHeight="true" outlineLevel="0" collapsed="false">
      <c r="A9" s="17" t="s">
        <v>210</v>
      </c>
      <c r="B9" s="18" t="s">
        <v>58</v>
      </c>
      <c r="C9" s="20" t="n">
        <v>601700</v>
      </c>
      <c r="D9" s="20" t="n">
        <v>1600000</v>
      </c>
      <c r="E9" s="20" t="n">
        <v>998300</v>
      </c>
    </row>
    <row r="12" customFormat="false" ht="15" hidden="false" customHeight="true" outlineLevel="0" collapsed="false">
      <c r="A12" s="4" t="s">
        <v>264</v>
      </c>
    </row>
    <row r="13" customFormat="false" ht="15" hidden="false" customHeight="true" outlineLevel="0" collapsed="false">
      <c r="A13" s="3" t="s">
        <v>265</v>
      </c>
    </row>
    <row r="14" customFormat="false" ht="15" hidden="false" customHeight="true" outlineLevel="0" collapsed="false">
      <c r="A14" s="29" t="s">
        <v>36</v>
      </c>
      <c r="B14" s="29" t="s">
        <v>266</v>
      </c>
      <c r="C14" s="29" t="s">
        <v>267</v>
      </c>
      <c r="D14" s="29" t="s">
        <v>268</v>
      </c>
      <c r="E14" s="29" t="s">
        <v>269</v>
      </c>
    </row>
    <row r="15" customFormat="false" ht="15" hidden="false" customHeight="true" outlineLevel="0" collapsed="false">
      <c r="A15" s="17" t="s">
        <v>87</v>
      </c>
      <c r="B15" s="18" t="s">
        <v>88</v>
      </c>
      <c r="C15" s="20" t="n">
        <v>1823700</v>
      </c>
      <c r="D15" s="20" t="n">
        <v>813700</v>
      </c>
      <c r="E15" s="20" t="n">
        <v>1010000</v>
      </c>
    </row>
    <row r="16" customFormat="false" ht="15" hidden="false" customHeight="true" outlineLevel="0" collapsed="false">
      <c r="A16" s="17" t="s">
        <v>91</v>
      </c>
      <c r="B16" s="18" t="s">
        <v>92</v>
      </c>
      <c r="C16" s="20" t="n">
        <v>1121700</v>
      </c>
      <c r="D16" s="20" t="n">
        <v>275000</v>
      </c>
      <c r="E16" s="20" t="n">
        <v>846700</v>
      </c>
    </row>
    <row r="19" customFormat="false" ht="15" hidden="false" customHeight="true" outlineLevel="0" collapsed="false">
      <c r="A19" s="4" t="s">
        <v>270</v>
      </c>
    </row>
    <row r="20" customFormat="false" ht="15" hidden="false" customHeight="true" outlineLevel="0" collapsed="false">
      <c r="A20" s="3" t="s">
        <v>271</v>
      </c>
    </row>
    <row r="21" customFormat="false" ht="15" hidden="false" customHeight="true" outlineLevel="0" collapsed="false">
      <c r="A21" s="29" t="s">
        <v>272</v>
      </c>
      <c r="B21" s="29" t="s">
        <v>273</v>
      </c>
    </row>
    <row r="22" customFormat="false" ht="15" hidden="false" customHeight="true" outlineLevel="0" collapsed="false">
      <c r="A22" s="17" t="s">
        <v>222</v>
      </c>
      <c r="B22" s="20" t="n">
        <v>220000</v>
      </c>
    </row>
    <row r="23" customFormat="false" ht="15" hidden="false" customHeight="true" outlineLevel="0" collapsed="false">
      <c r="A23" s="17" t="s">
        <v>274</v>
      </c>
      <c r="B23" s="20" t="n">
        <v>200000</v>
      </c>
    </row>
    <row r="24" customFormat="false" ht="15" hidden="false" customHeight="true" outlineLevel="0" collapsed="false">
      <c r="A24" s="18" t="s">
        <v>275</v>
      </c>
      <c r="B24" s="20" t="n">
        <v>100000</v>
      </c>
    </row>
    <row r="25" customFormat="false" ht="15" hidden="false" customHeight="true" outlineLevel="0" collapsed="false">
      <c r="A25" s="17" t="s">
        <v>220</v>
      </c>
      <c r="B25" s="20" t="n">
        <v>100000</v>
      </c>
    </row>
    <row r="26" customFormat="false" ht="15" hidden="false" customHeight="true" outlineLevel="0" collapsed="false">
      <c r="A26" s="18" t="s">
        <v>276</v>
      </c>
      <c r="B26" s="20" t="n">
        <v>100000</v>
      </c>
    </row>
    <row r="27" customFormat="false" ht="15" hidden="false" customHeight="true" outlineLevel="0" collapsed="false">
      <c r="A27" s="17" t="s">
        <v>219</v>
      </c>
      <c r="B27" s="20" t="n">
        <v>91000</v>
      </c>
    </row>
    <row r="28" customFormat="false" ht="15" hidden="false" customHeight="true" outlineLevel="0" collapsed="false">
      <c r="A28" s="18" t="s">
        <v>277</v>
      </c>
      <c r="B28" s="20" t="n">
        <v>81000</v>
      </c>
    </row>
    <row r="29" customFormat="false" ht="15" hidden="false" customHeight="true" outlineLevel="0" collapsed="false">
      <c r="A29" s="18" t="s">
        <v>278</v>
      </c>
      <c r="B29" s="20" t="n">
        <v>68000</v>
      </c>
    </row>
    <row r="30" customFormat="false" ht="15" hidden="false" customHeight="true" outlineLevel="0" collapsed="false">
      <c r="A30" s="17" t="s">
        <v>279</v>
      </c>
      <c r="B30" s="20" t="n">
        <v>67000</v>
      </c>
    </row>
    <row r="31" customFormat="false" ht="15" hidden="false" customHeight="true" outlineLevel="0" collapsed="false">
      <c r="A31" s="17" t="s">
        <v>280</v>
      </c>
      <c r="B31" s="20" t="n">
        <v>16000</v>
      </c>
    </row>
    <row r="32" customFormat="false" ht="15" hidden="false" customHeight="true" outlineLevel="0" collapsed="false">
      <c r="A32" s="18" t="s">
        <v>281</v>
      </c>
      <c r="B32" s="20" t="n">
        <v>12000</v>
      </c>
    </row>
    <row r="33" customFormat="false" ht="15" hidden="false" customHeight="true" outlineLevel="0" collapsed="false">
      <c r="A33" s="17" t="s">
        <v>213</v>
      </c>
      <c r="B33" s="20" t="n">
        <v>8000</v>
      </c>
    </row>
    <row r="34" customFormat="false" ht="15" hidden="false" customHeight="true" outlineLevel="0" collapsed="false">
      <c r="A34" s="17" t="s">
        <v>214</v>
      </c>
      <c r="B34" s="20" t="n">
        <v>8000</v>
      </c>
    </row>
    <row r="35" customFormat="false" ht="15" hidden="false" customHeight="true" outlineLevel="0" collapsed="false">
      <c r="A35" s="17" t="s">
        <v>215</v>
      </c>
      <c r="B35" s="20" t="n">
        <v>8000</v>
      </c>
    </row>
    <row r="36" customFormat="false" ht="15" hidden="false" customHeight="true" outlineLevel="0" collapsed="false">
      <c r="A36" s="17" t="s">
        <v>216</v>
      </c>
      <c r="B36" s="20" t="n">
        <v>8000</v>
      </c>
    </row>
    <row r="37" customFormat="false" ht="15" hidden="false" customHeight="true" outlineLevel="0" collapsed="false">
      <c r="A37" s="17" t="s">
        <v>217</v>
      </c>
      <c r="B37" s="20" t="n">
        <v>8000</v>
      </c>
    </row>
    <row r="40" customFormat="false" ht="15" hidden="false" customHeight="true" outlineLevel="0" collapsed="false">
      <c r="A40" s="4" t="s">
        <v>282</v>
      </c>
    </row>
    <row r="41" customFormat="false" ht="15" hidden="false" customHeight="true" outlineLevel="0" collapsed="false">
      <c r="A41" s="3" t="s">
        <v>283</v>
      </c>
    </row>
    <row r="42" customFormat="false" ht="15" hidden="false" customHeight="true" outlineLevel="0" collapsed="false">
      <c r="A42" s="29" t="s">
        <v>284</v>
      </c>
      <c r="B42" s="29" t="s">
        <v>285</v>
      </c>
      <c r="C42" s="29" t="s">
        <v>286</v>
      </c>
      <c r="D42" s="29" t="s">
        <v>287</v>
      </c>
    </row>
    <row r="43" customFormat="false" ht="15" hidden="false" customHeight="true" outlineLevel="0" collapsed="false">
      <c r="A43" s="17" t="s">
        <v>288</v>
      </c>
      <c r="B43" s="18" t="s">
        <v>289</v>
      </c>
      <c r="C43" s="20" t="n">
        <v>180000</v>
      </c>
      <c r="D43" s="18" t="s">
        <v>290</v>
      </c>
    </row>
    <row r="44" customFormat="false" ht="15" hidden="false" customHeight="true" outlineLevel="0" collapsed="false">
      <c r="A44" s="17" t="s">
        <v>69</v>
      </c>
      <c r="B44" s="18" t="s">
        <v>289</v>
      </c>
      <c r="C44" s="20" t="n">
        <v>170000</v>
      </c>
      <c r="D44" s="18" t="s">
        <v>290</v>
      </c>
    </row>
    <row r="45" customFormat="false" ht="15" hidden="false" customHeight="true" outlineLevel="0" collapsed="false">
      <c r="A45" s="17" t="s">
        <v>120</v>
      </c>
      <c r="B45" s="18" t="s">
        <v>289</v>
      </c>
      <c r="C45" s="20" t="n">
        <v>160000</v>
      </c>
      <c r="D45" s="18" t="s">
        <v>290</v>
      </c>
    </row>
    <row r="46" customFormat="false" ht="15" hidden="false" customHeight="true" outlineLevel="0" collapsed="false">
      <c r="A46" s="17" t="s">
        <v>91</v>
      </c>
      <c r="B46" s="18" t="s">
        <v>289</v>
      </c>
      <c r="C46" s="20" t="n">
        <v>100000</v>
      </c>
      <c r="D46" s="18" t="s">
        <v>291</v>
      </c>
    </row>
    <row r="47" customFormat="false" ht="15" hidden="false" customHeight="true" outlineLevel="0" collapsed="false">
      <c r="A47" s="17" t="s">
        <v>62</v>
      </c>
      <c r="B47" s="18" t="s">
        <v>292</v>
      </c>
      <c r="C47" s="20" t="n">
        <v>100000</v>
      </c>
      <c r="D47" s="18" t="s">
        <v>293</v>
      </c>
    </row>
    <row r="48" customFormat="false" ht="15" hidden="false" customHeight="true" outlineLevel="0" collapsed="false">
      <c r="A48" s="17" t="s">
        <v>56</v>
      </c>
      <c r="B48" s="18" t="s">
        <v>292</v>
      </c>
      <c r="C48" s="20" t="n">
        <v>100000</v>
      </c>
      <c r="D48" s="18" t="s">
        <v>293</v>
      </c>
    </row>
    <row r="49" customFormat="false" ht="15" hidden="false" customHeight="true" outlineLevel="0" collapsed="false">
      <c r="A49" s="17" t="s">
        <v>133</v>
      </c>
      <c r="B49" s="18" t="s">
        <v>292</v>
      </c>
      <c r="C49" s="20" t="n">
        <v>100000</v>
      </c>
      <c r="D49" s="18" t="s">
        <v>293</v>
      </c>
    </row>
    <row r="50" customFormat="false" ht="15" hidden="false" customHeight="true" outlineLevel="0" collapsed="false">
      <c r="A50" s="17" t="s">
        <v>207</v>
      </c>
      <c r="B50" s="18" t="s">
        <v>292</v>
      </c>
      <c r="C50" s="20" t="n">
        <v>100000</v>
      </c>
      <c r="D50" s="18" t="s">
        <v>293</v>
      </c>
    </row>
    <row r="51" customFormat="false" ht="15" hidden="false" customHeight="true" outlineLevel="0" collapsed="false">
      <c r="A51" s="17" t="s">
        <v>66</v>
      </c>
      <c r="B51" s="18" t="s">
        <v>292</v>
      </c>
      <c r="C51" s="20" t="n">
        <v>45000</v>
      </c>
      <c r="D51" s="18" t="s">
        <v>294</v>
      </c>
    </row>
    <row r="52" customFormat="false" ht="15" hidden="false" customHeight="true" outlineLevel="0" collapsed="false">
      <c r="A52" s="17" t="s">
        <v>157</v>
      </c>
      <c r="B52" s="18" t="s">
        <v>292</v>
      </c>
      <c r="C52" s="20" t="n">
        <v>30000</v>
      </c>
      <c r="D52" s="18" t="s">
        <v>293</v>
      </c>
    </row>
    <row r="53" customFormat="false" ht="15" hidden="false" customHeight="true" outlineLevel="0" collapsed="false">
      <c r="A53" s="17" t="s">
        <v>118</v>
      </c>
      <c r="B53" s="18" t="s">
        <v>292</v>
      </c>
      <c r="C53" s="20" t="n">
        <v>30000</v>
      </c>
      <c r="D53" s="18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20"/>
    <col collapsed="false" customWidth="true" hidden="false" outlineLevel="0" max="13" min="12" style="1" width="12"/>
  </cols>
  <sheetData>
    <row r="1" customFormat="false" ht="21" hidden="false" customHeight="true" outlineLevel="0" collapsed="false">
      <c r="A1" s="15" t="s">
        <v>295</v>
      </c>
    </row>
    <row r="3" customFormat="false" ht="15" hidden="false" customHeight="true" outlineLevel="0" collapsed="false">
      <c r="A3" s="29" t="s">
        <v>284</v>
      </c>
      <c r="B3" s="29" t="s">
        <v>296</v>
      </c>
      <c r="C3" s="29" t="s">
        <v>285</v>
      </c>
      <c r="D3" s="29" t="s">
        <v>297</v>
      </c>
      <c r="E3" s="29" t="s">
        <v>298</v>
      </c>
      <c r="F3" s="29" t="s">
        <v>4</v>
      </c>
      <c r="G3" s="29" t="s">
        <v>299</v>
      </c>
      <c r="H3" s="29" t="s">
        <v>300</v>
      </c>
      <c r="I3" s="29" t="s">
        <v>301</v>
      </c>
      <c r="J3" s="29" t="s">
        <v>302</v>
      </c>
      <c r="K3" s="29" t="s">
        <v>303</v>
      </c>
      <c r="L3" s="29" t="s">
        <v>304</v>
      </c>
      <c r="M3" s="29" t="s">
        <v>305</v>
      </c>
    </row>
    <row r="4" customFormat="false" ht="15" hidden="false" customHeight="true" outlineLevel="0" collapsed="false">
      <c r="A4" s="30" t="s">
        <v>77</v>
      </c>
      <c r="B4" s="31" t="s">
        <v>306</v>
      </c>
      <c r="C4" s="30" t="s">
        <v>307</v>
      </c>
      <c r="D4" s="7" t="n">
        <v>81000</v>
      </c>
      <c r="E4" s="31" t="s">
        <v>308</v>
      </c>
      <c r="F4" s="30" t="s">
        <v>309</v>
      </c>
      <c r="G4" s="31" t="s">
        <v>310</v>
      </c>
      <c r="H4" s="31" t="s">
        <v>311</v>
      </c>
      <c r="I4" s="31" t="s">
        <v>312</v>
      </c>
      <c r="J4" s="31" t="s">
        <v>311</v>
      </c>
      <c r="K4" s="31" t="s">
        <v>311</v>
      </c>
      <c r="L4" s="31" t="s">
        <v>311</v>
      </c>
      <c r="M4" s="31" t="s">
        <v>311</v>
      </c>
    </row>
    <row r="5" customFormat="false" ht="15" hidden="false" customHeight="true" outlineLevel="0" collapsed="false">
      <c r="A5" s="30" t="s">
        <v>72</v>
      </c>
      <c r="B5" s="31" t="s">
        <v>313</v>
      </c>
      <c r="C5" s="30" t="s">
        <v>307</v>
      </c>
      <c r="D5" s="7" t="n">
        <v>16000</v>
      </c>
      <c r="E5" s="31" t="s">
        <v>308</v>
      </c>
      <c r="F5" s="30" t="s">
        <v>309</v>
      </c>
      <c r="G5" s="31" t="s">
        <v>314</v>
      </c>
      <c r="H5" s="31" t="s">
        <v>311</v>
      </c>
      <c r="I5" s="31" t="s">
        <v>312</v>
      </c>
      <c r="J5" s="31" t="s">
        <v>311</v>
      </c>
      <c r="K5" s="31" t="s">
        <v>311</v>
      </c>
      <c r="L5" s="31" t="s">
        <v>311</v>
      </c>
      <c r="M5" s="31" t="s">
        <v>311</v>
      </c>
    </row>
    <row r="6" customFormat="false" ht="15" hidden="false" customHeight="true" outlineLevel="0" collapsed="false">
      <c r="A6" s="30" t="s">
        <v>102</v>
      </c>
      <c r="B6" s="31" t="s">
        <v>315</v>
      </c>
      <c r="C6" s="30" t="s">
        <v>307</v>
      </c>
      <c r="D6" s="7" t="n">
        <v>2009000</v>
      </c>
      <c r="E6" s="31" t="s">
        <v>308</v>
      </c>
      <c r="F6" s="30" t="s">
        <v>309</v>
      </c>
      <c r="G6" s="31" t="s">
        <v>316</v>
      </c>
      <c r="H6" s="31" t="s">
        <v>311</v>
      </c>
      <c r="I6" s="31" t="s">
        <v>312</v>
      </c>
      <c r="J6" s="31" t="s">
        <v>311</v>
      </c>
      <c r="K6" s="31" t="s">
        <v>311</v>
      </c>
      <c r="L6" s="31" t="s">
        <v>311</v>
      </c>
      <c r="M6" s="31" t="s">
        <v>311</v>
      </c>
    </row>
    <row r="7" customFormat="false" ht="15" hidden="false" customHeight="true" outlineLevel="0" collapsed="false">
      <c r="A7" s="30" t="s">
        <v>130</v>
      </c>
      <c r="B7" s="31" t="s">
        <v>317</v>
      </c>
      <c r="C7" s="30" t="s">
        <v>307</v>
      </c>
      <c r="D7" s="7" t="n">
        <v>1881500</v>
      </c>
      <c r="E7" s="31" t="s">
        <v>308</v>
      </c>
      <c r="F7" s="30" t="s">
        <v>309</v>
      </c>
      <c r="G7" s="31" t="s">
        <v>318</v>
      </c>
      <c r="H7" s="31" t="s">
        <v>311</v>
      </c>
      <c r="I7" s="31" t="s">
        <v>312</v>
      </c>
      <c r="J7" s="31" t="s">
        <v>311</v>
      </c>
      <c r="K7" s="31" t="s">
        <v>311</v>
      </c>
      <c r="L7" s="31" t="s">
        <v>311</v>
      </c>
      <c r="M7" s="31" t="s">
        <v>311</v>
      </c>
    </row>
    <row r="8" customFormat="false" ht="15" hidden="false" customHeight="true" outlineLevel="0" collapsed="false">
      <c r="A8" s="30" t="s">
        <v>157</v>
      </c>
      <c r="B8" s="31" t="s">
        <v>319</v>
      </c>
      <c r="C8" s="30" t="s">
        <v>307</v>
      </c>
      <c r="D8" s="7" t="n">
        <v>130000</v>
      </c>
      <c r="E8" s="31" t="s">
        <v>308</v>
      </c>
      <c r="F8" s="30" t="s">
        <v>320</v>
      </c>
      <c r="G8" s="31" t="s">
        <v>321</v>
      </c>
      <c r="H8" s="31" t="s">
        <v>311</v>
      </c>
      <c r="I8" s="31" t="s">
        <v>312</v>
      </c>
      <c r="J8" s="30" t="s">
        <v>322</v>
      </c>
      <c r="K8" s="31" t="s">
        <v>323</v>
      </c>
      <c r="L8" s="30" t="s">
        <v>324</v>
      </c>
      <c r="M8" s="31" t="s">
        <v>325</v>
      </c>
    </row>
    <row r="9" customFormat="false" ht="15" hidden="false" customHeight="true" outlineLevel="0" collapsed="false">
      <c r="A9" s="30" t="s">
        <v>145</v>
      </c>
      <c r="B9" s="31" t="s">
        <v>326</v>
      </c>
      <c r="C9" s="30" t="s">
        <v>307</v>
      </c>
      <c r="D9" s="7" t="n">
        <v>981000</v>
      </c>
      <c r="E9" s="31" t="s">
        <v>308</v>
      </c>
      <c r="F9" s="30" t="s">
        <v>309</v>
      </c>
      <c r="G9" s="31" t="s">
        <v>327</v>
      </c>
      <c r="H9" s="31" t="s">
        <v>311</v>
      </c>
      <c r="I9" s="31" t="s">
        <v>312</v>
      </c>
      <c r="J9" s="31" t="s">
        <v>311</v>
      </c>
      <c r="K9" s="31" t="s">
        <v>311</v>
      </c>
      <c r="L9" s="31" t="s">
        <v>311</v>
      </c>
      <c r="M9" s="31" t="s">
        <v>311</v>
      </c>
    </row>
    <row r="10" customFormat="false" ht="15" hidden="false" customHeight="true" outlineLevel="0" collapsed="false">
      <c r="A10" s="30" t="s">
        <v>208</v>
      </c>
      <c r="B10" s="31" t="s">
        <v>328</v>
      </c>
      <c r="C10" s="30" t="s">
        <v>307</v>
      </c>
      <c r="D10" s="7" t="n">
        <v>450000</v>
      </c>
      <c r="E10" s="31" t="s">
        <v>308</v>
      </c>
      <c r="F10" s="30" t="s">
        <v>320</v>
      </c>
      <c r="G10" s="31" t="s">
        <v>329</v>
      </c>
      <c r="H10" s="31" t="s">
        <v>311</v>
      </c>
      <c r="I10" s="31" t="s">
        <v>312</v>
      </c>
      <c r="J10" s="30" t="s">
        <v>322</v>
      </c>
      <c r="K10" s="31" t="s">
        <v>330</v>
      </c>
      <c r="L10" s="30" t="s">
        <v>331</v>
      </c>
      <c r="M10" s="31" t="n">
        <v>31876592</v>
      </c>
    </row>
    <row r="11" customFormat="false" ht="15" hidden="false" customHeight="true" outlineLevel="0" collapsed="false">
      <c r="A11" s="30" t="s">
        <v>117</v>
      </c>
      <c r="B11" s="31" t="s">
        <v>332</v>
      </c>
      <c r="C11" s="30" t="s">
        <v>307</v>
      </c>
      <c r="D11" s="7" t="n">
        <v>660000</v>
      </c>
      <c r="E11" s="31" t="s">
        <v>308</v>
      </c>
      <c r="F11" s="30" t="s">
        <v>309</v>
      </c>
      <c r="G11" s="31" t="s">
        <v>333</v>
      </c>
      <c r="H11" s="31" t="s">
        <v>311</v>
      </c>
      <c r="I11" s="31" t="s">
        <v>312</v>
      </c>
      <c r="J11" s="31" t="s">
        <v>311</v>
      </c>
      <c r="K11" s="31" t="s">
        <v>311</v>
      </c>
      <c r="L11" s="31" t="s">
        <v>311</v>
      </c>
      <c r="M11" s="31" t="s">
        <v>311</v>
      </c>
    </row>
    <row r="12" customFormat="false" ht="15" hidden="false" customHeight="true" outlineLevel="0" collapsed="false">
      <c r="A12" s="30" t="s">
        <v>53</v>
      </c>
      <c r="B12" s="31" t="s">
        <v>334</v>
      </c>
      <c r="C12" s="30" t="s">
        <v>307</v>
      </c>
      <c r="D12" s="7" t="n">
        <v>119000</v>
      </c>
      <c r="E12" s="31" t="s">
        <v>308</v>
      </c>
      <c r="F12" s="30" t="s">
        <v>309</v>
      </c>
      <c r="G12" s="31" t="s">
        <v>335</v>
      </c>
      <c r="H12" s="31" t="s">
        <v>311</v>
      </c>
      <c r="I12" s="31" t="s">
        <v>312</v>
      </c>
      <c r="J12" s="31" t="s">
        <v>311</v>
      </c>
      <c r="K12" s="31" t="s">
        <v>311</v>
      </c>
      <c r="L12" s="31" t="s">
        <v>311</v>
      </c>
      <c r="M12" s="31" t="s">
        <v>311</v>
      </c>
    </row>
    <row r="13" customFormat="false" ht="15" hidden="false" customHeight="true" outlineLevel="0" collapsed="false">
      <c r="A13" s="30" t="s">
        <v>87</v>
      </c>
      <c r="B13" s="31" t="s">
        <v>336</v>
      </c>
      <c r="C13" s="30" t="s">
        <v>307</v>
      </c>
      <c r="D13" s="7" t="n">
        <v>10000</v>
      </c>
      <c r="E13" s="31" t="s">
        <v>308</v>
      </c>
      <c r="F13" s="30" t="s">
        <v>320</v>
      </c>
      <c r="G13" s="31" t="s">
        <v>337</v>
      </c>
      <c r="H13" s="31" t="s">
        <v>311</v>
      </c>
      <c r="I13" s="31" t="s">
        <v>312</v>
      </c>
      <c r="J13" s="30" t="s">
        <v>322</v>
      </c>
      <c r="K13" s="31" t="s">
        <v>338</v>
      </c>
      <c r="L13" s="30" t="s">
        <v>324</v>
      </c>
      <c r="M13" s="31" t="s">
        <v>339</v>
      </c>
    </row>
    <row r="14" customFormat="false" ht="15" hidden="false" customHeight="true" outlineLevel="0" collapsed="false">
      <c r="A14" s="30" t="s">
        <v>100</v>
      </c>
      <c r="B14" s="31" t="s">
        <v>340</v>
      </c>
      <c r="C14" s="30" t="s">
        <v>307</v>
      </c>
      <c r="D14" s="7" t="n">
        <v>450000</v>
      </c>
      <c r="E14" s="31" t="s">
        <v>308</v>
      </c>
      <c r="F14" s="30" t="s">
        <v>309</v>
      </c>
      <c r="G14" s="31" t="s">
        <v>341</v>
      </c>
      <c r="H14" s="31" t="s">
        <v>311</v>
      </c>
      <c r="I14" s="31" t="s">
        <v>312</v>
      </c>
      <c r="J14" s="31" t="s">
        <v>311</v>
      </c>
      <c r="K14" s="31" t="s">
        <v>311</v>
      </c>
      <c r="L14" s="31" t="s">
        <v>311</v>
      </c>
      <c r="M14" s="31" t="s">
        <v>311</v>
      </c>
    </row>
    <row r="15" customFormat="false" ht="15" hidden="false" customHeight="true" outlineLevel="0" collapsed="false">
      <c r="A15" s="30" t="s">
        <v>80</v>
      </c>
      <c r="B15" s="31" t="s">
        <v>342</v>
      </c>
      <c r="C15" s="30" t="s">
        <v>307</v>
      </c>
      <c r="D15" s="7" t="n">
        <v>10810000</v>
      </c>
      <c r="E15" s="31" t="s">
        <v>308</v>
      </c>
      <c r="F15" s="30" t="s">
        <v>309</v>
      </c>
      <c r="G15" s="31" t="s">
        <v>343</v>
      </c>
      <c r="H15" s="31" t="s">
        <v>311</v>
      </c>
      <c r="I15" s="31" t="s">
        <v>312</v>
      </c>
      <c r="J15" s="31" t="s">
        <v>311</v>
      </c>
      <c r="K15" s="31" t="s">
        <v>311</v>
      </c>
      <c r="L15" s="31" t="s">
        <v>311</v>
      </c>
      <c r="M15" s="31" t="s">
        <v>311</v>
      </c>
    </row>
    <row r="16" customFormat="false" ht="15" hidden="false" customHeight="true" outlineLevel="0" collapsed="false">
      <c r="A16" s="30" t="s">
        <v>147</v>
      </c>
      <c r="B16" s="31" t="s">
        <v>344</v>
      </c>
      <c r="C16" s="30" t="s">
        <v>307</v>
      </c>
      <c r="D16" s="7" t="n">
        <v>325000</v>
      </c>
      <c r="E16" s="31" t="s">
        <v>308</v>
      </c>
      <c r="F16" s="30" t="s">
        <v>309</v>
      </c>
      <c r="G16" s="31" t="s">
        <v>345</v>
      </c>
      <c r="H16" s="31" t="s">
        <v>311</v>
      </c>
      <c r="I16" s="31" t="s">
        <v>312</v>
      </c>
      <c r="J16" s="31" t="s">
        <v>311</v>
      </c>
      <c r="K16" s="31" t="s">
        <v>311</v>
      </c>
      <c r="L16" s="31" t="s">
        <v>311</v>
      </c>
      <c r="M16" s="31" t="s">
        <v>311</v>
      </c>
    </row>
    <row r="17" customFormat="false" ht="15" hidden="false" customHeight="true" outlineLevel="0" collapsed="false">
      <c r="A17" s="30" t="s">
        <v>104</v>
      </c>
      <c r="B17" s="31" t="s">
        <v>306</v>
      </c>
      <c r="C17" s="30" t="s">
        <v>307</v>
      </c>
      <c r="D17" s="7" t="n">
        <v>10000</v>
      </c>
      <c r="E17" s="31" t="s">
        <v>308</v>
      </c>
      <c r="F17" s="30" t="s">
        <v>320</v>
      </c>
      <c r="G17" s="31" t="s">
        <v>346</v>
      </c>
      <c r="H17" s="31" t="s">
        <v>311</v>
      </c>
      <c r="I17" s="31" t="s">
        <v>312</v>
      </c>
      <c r="J17" s="30" t="s">
        <v>322</v>
      </c>
      <c r="K17" s="31" t="s">
        <v>347</v>
      </c>
      <c r="L17" s="30" t="s">
        <v>331</v>
      </c>
      <c r="M17" s="31" t="n">
        <v>31724175</v>
      </c>
    </row>
    <row r="18" customFormat="false" ht="15" hidden="false" customHeight="true" outlineLevel="0" collapsed="false">
      <c r="A18" s="30" t="s">
        <v>155</v>
      </c>
      <c r="B18" s="31" t="s">
        <v>348</v>
      </c>
      <c r="C18" s="30" t="s">
        <v>307</v>
      </c>
      <c r="D18" s="7" t="n">
        <v>75000</v>
      </c>
      <c r="E18" s="31" t="s">
        <v>308</v>
      </c>
      <c r="F18" s="30" t="s">
        <v>320</v>
      </c>
      <c r="G18" s="31" t="s">
        <v>349</v>
      </c>
      <c r="H18" s="31" t="s">
        <v>311</v>
      </c>
      <c r="I18" s="31" t="s">
        <v>312</v>
      </c>
      <c r="J18" s="30" t="s">
        <v>322</v>
      </c>
      <c r="K18" s="31" t="s">
        <v>350</v>
      </c>
      <c r="L18" s="30" t="s">
        <v>324</v>
      </c>
      <c r="M18" s="31" t="s">
        <v>351</v>
      </c>
    </row>
    <row r="19" customFormat="false" ht="15" hidden="false" customHeight="true" outlineLevel="0" collapsed="false">
      <c r="A19" s="30" t="s">
        <v>154</v>
      </c>
      <c r="B19" s="31" t="s">
        <v>352</v>
      </c>
      <c r="C19" s="30" t="s">
        <v>307</v>
      </c>
      <c r="D19" s="7" t="n">
        <v>54000</v>
      </c>
      <c r="E19" s="31" t="s">
        <v>308</v>
      </c>
      <c r="F19" s="30" t="s">
        <v>320</v>
      </c>
      <c r="G19" s="31" t="s">
        <v>353</v>
      </c>
      <c r="H19" s="31" t="s">
        <v>311</v>
      </c>
      <c r="I19" s="31" t="s">
        <v>312</v>
      </c>
      <c r="J19" s="30" t="s">
        <v>322</v>
      </c>
      <c r="K19" s="31" t="s">
        <v>354</v>
      </c>
      <c r="L19" s="30" t="s">
        <v>355</v>
      </c>
      <c r="M19" s="31" t="n">
        <v>12399252</v>
      </c>
    </row>
    <row r="20" customFormat="false" ht="15" hidden="false" customHeight="true" outlineLevel="0" collapsed="false">
      <c r="A20" s="30" t="s">
        <v>67</v>
      </c>
      <c r="B20" s="31" t="s">
        <v>356</v>
      </c>
      <c r="C20" s="30" t="s">
        <v>307</v>
      </c>
      <c r="D20" s="7" t="n">
        <v>910000</v>
      </c>
      <c r="E20" s="31" t="s">
        <v>308</v>
      </c>
      <c r="F20" s="30" t="s">
        <v>309</v>
      </c>
      <c r="G20" s="31" t="s">
        <v>357</v>
      </c>
      <c r="H20" s="31" t="s">
        <v>311</v>
      </c>
      <c r="I20" s="31" t="s">
        <v>312</v>
      </c>
      <c r="J20" s="31" t="s">
        <v>311</v>
      </c>
      <c r="K20" s="31" t="s">
        <v>311</v>
      </c>
      <c r="L20" s="31" t="s">
        <v>311</v>
      </c>
      <c r="M20" s="31" t="s">
        <v>311</v>
      </c>
    </row>
    <row r="21" customFormat="false" ht="15" hidden="false" customHeight="true" outlineLevel="0" collapsed="false">
      <c r="A21" s="30" t="s">
        <v>109</v>
      </c>
      <c r="B21" s="31" t="s">
        <v>358</v>
      </c>
      <c r="C21" s="30" t="s">
        <v>307</v>
      </c>
      <c r="D21" s="7" t="n">
        <v>330700</v>
      </c>
      <c r="E21" s="31" t="s">
        <v>308</v>
      </c>
      <c r="F21" s="30" t="s">
        <v>309</v>
      </c>
      <c r="G21" s="31" t="s">
        <v>359</v>
      </c>
      <c r="H21" s="31" t="s">
        <v>311</v>
      </c>
      <c r="I21" s="31" t="s">
        <v>312</v>
      </c>
      <c r="J21" s="31" t="s">
        <v>311</v>
      </c>
      <c r="K21" s="31" t="s">
        <v>311</v>
      </c>
      <c r="L21" s="31" t="s">
        <v>311</v>
      </c>
      <c r="M21" s="31" t="s">
        <v>311</v>
      </c>
    </row>
    <row r="22" customFormat="false" ht="15" hidden="false" customHeight="true" outlineLevel="0" collapsed="false">
      <c r="A22" s="30" t="s">
        <v>69</v>
      </c>
      <c r="B22" s="31" t="s">
        <v>360</v>
      </c>
      <c r="C22" s="30" t="s">
        <v>307</v>
      </c>
      <c r="D22" s="7" t="n">
        <v>2210100</v>
      </c>
      <c r="E22" s="31" t="s">
        <v>308</v>
      </c>
      <c r="F22" s="30" t="s">
        <v>309</v>
      </c>
      <c r="G22" s="31" t="s">
        <v>361</v>
      </c>
      <c r="H22" s="31" t="s">
        <v>311</v>
      </c>
      <c r="I22" s="31" t="s">
        <v>312</v>
      </c>
      <c r="J22" s="31" t="s">
        <v>311</v>
      </c>
      <c r="K22" s="31" t="s">
        <v>311</v>
      </c>
      <c r="L22" s="31" t="s">
        <v>311</v>
      </c>
      <c r="M22" s="31" t="s">
        <v>311</v>
      </c>
    </row>
    <row r="23" customFormat="false" ht="15" hidden="false" customHeight="true" outlineLevel="0" collapsed="false">
      <c r="A23" s="30" t="s">
        <v>83</v>
      </c>
      <c r="B23" s="31" t="s">
        <v>362</v>
      </c>
      <c r="C23" s="30" t="s">
        <v>307</v>
      </c>
      <c r="D23" s="7" t="n">
        <v>2115000</v>
      </c>
      <c r="E23" s="31" t="s">
        <v>308</v>
      </c>
      <c r="F23" s="30" t="s">
        <v>309</v>
      </c>
      <c r="G23" s="31" t="s">
        <v>363</v>
      </c>
      <c r="H23" s="31" t="s">
        <v>311</v>
      </c>
      <c r="I23" s="31" t="s">
        <v>312</v>
      </c>
      <c r="J23" s="31" t="s">
        <v>311</v>
      </c>
      <c r="K23" s="31" t="s">
        <v>311</v>
      </c>
      <c r="L23" s="31" t="s">
        <v>311</v>
      </c>
      <c r="M23" s="31" t="s">
        <v>311</v>
      </c>
    </row>
    <row r="24" customFormat="false" ht="15" hidden="false" customHeight="true" outlineLevel="0" collapsed="false">
      <c r="A24" s="30" t="s">
        <v>105</v>
      </c>
      <c r="B24" s="31" t="s">
        <v>364</v>
      </c>
      <c r="C24" s="30" t="s">
        <v>307</v>
      </c>
      <c r="D24" s="7" t="n">
        <v>650000</v>
      </c>
      <c r="E24" s="31" t="s">
        <v>308</v>
      </c>
      <c r="F24" s="30" t="s">
        <v>309</v>
      </c>
      <c r="G24" s="31" t="s">
        <v>365</v>
      </c>
      <c r="H24" s="31" t="s">
        <v>311</v>
      </c>
      <c r="I24" s="31" t="s">
        <v>312</v>
      </c>
      <c r="J24" s="31" t="s">
        <v>311</v>
      </c>
      <c r="K24" s="31" t="s">
        <v>311</v>
      </c>
      <c r="L24" s="31" t="s">
        <v>311</v>
      </c>
      <c r="M24" s="31" t="s">
        <v>311</v>
      </c>
    </row>
    <row r="25" customFormat="false" ht="15" hidden="false" customHeight="true" outlineLevel="0" collapsed="false">
      <c r="A25" s="30" t="s">
        <v>56</v>
      </c>
      <c r="B25" s="31" t="s">
        <v>366</v>
      </c>
      <c r="C25" s="30" t="s">
        <v>307</v>
      </c>
      <c r="D25" s="7" t="n">
        <v>2865000</v>
      </c>
      <c r="E25" s="31" t="s">
        <v>308</v>
      </c>
      <c r="F25" s="30" t="s">
        <v>309</v>
      </c>
      <c r="G25" s="31" t="s">
        <v>367</v>
      </c>
      <c r="H25" s="31" t="s">
        <v>311</v>
      </c>
      <c r="I25" s="31" t="s">
        <v>312</v>
      </c>
      <c r="J25" s="31" t="s">
        <v>311</v>
      </c>
      <c r="K25" s="31" t="s">
        <v>311</v>
      </c>
      <c r="L25" s="31" t="s">
        <v>311</v>
      </c>
      <c r="M25" s="31" t="s">
        <v>311</v>
      </c>
    </row>
    <row r="26" customFormat="false" ht="15" hidden="false" customHeight="true" outlineLevel="0" collapsed="false">
      <c r="A26" s="30" t="s">
        <v>114</v>
      </c>
      <c r="B26" s="31" t="s">
        <v>306</v>
      </c>
      <c r="C26" s="30" t="s">
        <v>307</v>
      </c>
      <c r="D26" s="7" t="n">
        <v>10000</v>
      </c>
      <c r="E26" s="31" t="s">
        <v>308</v>
      </c>
      <c r="F26" s="30" t="s">
        <v>320</v>
      </c>
      <c r="G26" s="31" t="s">
        <v>368</v>
      </c>
      <c r="H26" s="31" t="s">
        <v>311</v>
      </c>
      <c r="I26" s="31" t="s">
        <v>312</v>
      </c>
      <c r="J26" s="30" t="s">
        <v>322</v>
      </c>
      <c r="K26" s="31" t="s">
        <v>369</v>
      </c>
      <c r="L26" s="30" t="s">
        <v>331</v>
      </c>
      <c r="M26" s="31" t="n">
        <v>31238798</v>
      </c>
    </row>
    <row r="27" customFormat="false" ht="15" hidden="false" customHeight="true" outlineLevel="0" collapsed="false">
      <c r="A27" s="30" t="s">
        <v>209</v>
      </c>
      <c r="B27" s="31" t="s">
        <v>370</v>
      </c>
      <c r="C27" s="30" t="s">
        <v>307</v>
      </c>
      <c r="D27" s="7" t="n">
        <v>910000</v>
      </c>
      <c r="E27" s="31" t="s">
        <v>308</v>
      </c>
      <c r="F27" s="30" t="s">
        <v>320</v>
      </c>
      <c r="G27" s="31" t="s">
        <v>371</v>
      </c>
      <c r="H27" s="31" t="s">
        <v>311</v>
      </c>
      <c r="I27" s="31" t="s">
        <v>312</v>
      </c>
      <c r="J27" s="30" t="s">
        <v>322</v>
      </c>
      <c r="K27" s="31" t="s">
        <v>372</v>
      </c>
      <c r="L27" s="30" t="s">
        <v>373</v>
      </c>
      <c r="M27" s="31" t="s">
        <v>374</v>
      </c>
    </row>
    <row r="28" customFormat="false" ht="15" hidden="false" customHeight="true" outlineLevel="0" collapsed="false">
      <c r="A28" s="30" t="s">
        <v>111</v>
      </c>
      <c r="B28" s="31" t="s">
        <v>375</v>
      </c>
      <c r="C28" s="30" t="s">
        <v>307</v>
      </c>
      <c r="D28" s="7" t="n">
        <v>205000</v>
      </c>
      <c r="E28" s="31" t="s">
        <v>308</v>
      </c>
      <c r="F28" s="30" t="s">
        <v>309</v>
      </c>
      <c r="G28" s="31" t="s">
        <v>376</v>
      </c>
      <c r="H28" s="31" t="s">
        <v>311</v>
      </c>
      <c r="I28" s="31" t="s">
        <v>312</v>
      </c>
      <c r="J28" s="31" t="s">
        <v>311</v>
      </c>
      <c r="K28" s="31" t="s">
        <v>311</v>
      </c>
      <c r="L28" s="31" t="s">
        <v>311</v>
      </c>
      <c r="M28" s="31" t="s">
        <v>311</v>
      </c>
    </row>
    <row r="29" customFormat="false" ht="15" hidden="false" customHeight="true" outlineLevel="0" collapsed="false">
      <c r="A29" s="31" t="s">
        <v>377</v>
      </c>
      <c r="B29" s="31" t="s">
        <v>378</v>
      </c>
      <c r="C29" s="30" t="s">
        <v>307</v>
      </c>
      <c r="D29" s="7" t="n">
        <v>450000</v>
      </c>
      <c r="E29" s="31" t="s">
        <v>308</v>
      </c>
      <c r="F29" s="30" t="s">
        <v>309</v>
      </c>
      <c r="G29" s="31" t="s">
        <v>379</v>
      </c>
      <c r="H29" s="31" t="s">
        <v>311</v>
      </c>
      <c r="I29" s="31" t="s">
        <v>312</v>
      </c>
      <c r="J29" s="31" t="s">
        <v>311</v>
      </c>
      <c r="K29" s="31" t="s">
        <v>311</v>
      </c>
      <c r="L29" s="31" t="s">
        <v>311</v>
      </c>
      <c r="M29" s="31" t="s">
        <v>311</v>
      </c>
    </row>
    <row r="30" customFormat="false" ht="15" hidden="false" customHeight="true" outlineLevel="0" collapsed="false">
      <c r="A30" s="30" t="s">
        <v>91</v>
      </c>
      <c r="B30" s="31" t="s">
        <v>380</v>
      </c>
      <c r="C30" s="30" t="s">
        <v>307</v>
      </c>
      <c r="D30" s="7" t="n">
        <v>75000</v>
      </c>
      <c r="E30" s="31" t="s">
        <v>308</v>
      </c>
      <c r="F30" s="30" t="s">
        <v>320</v>
      </c>
      <c r="G30" s="31" t="s">
        <v>381</v>
      </c>
      <c r="H30" s="31" t="s">
        <v>311</v>
      </c>
      <c r="I30" s="31" t="s">
        <v>312</v>
      </c>
      <c r="J30" s="30" t="s">
        <v>322</v>
      </c>
      <c r="K30" s="31" t="s">
        <v>382</v>
      </c>
      <c r="L30" s="30" t="s">
        <v>383</v>
      </c>
      <c r="M30" s="31" t="n">
        <v>79772979</v>
      </c>
    </row>
    <row r="31" customFormat="false" ht="15" hidden="false" customHeight="true" outlineLevel="0" collapsed="false">
      <c r="A31" s="30" t="s">
        <v>210</v>
      </c>
      <c r="B31" s="31" t="s">
        <v>384</v>
      </c>
      <c r="C31" s="30" t="s">
        <v>307</v>
      </c>
      <c r="D31" s="7" t="n">
        <v>1500000</v>
      </c>
      <c r="E31" s="31" t="s">
        <v>308</v>
      </c>
      <c r="F31" s="30" t="s">
        <v>320</v>
      </c>
      <c r="G31" s="31" t="s">
        <v>385</v>
      </c>
      <c r="H31" s="31" t="s">
        <v>311</v>
      </c>
      <c r="I31" s="31" t="s">
        <v>312</v>
      </c>
      <c r="J31" s="30" t="s">
        <v>322</v>
      </c>
      <c r="K31" s="31" t="s">
        <v>386</v>
      </c>
      <c r="L31" s="30" t="s">
        <v>355</v>
      </c>
      <c r="M31" s="31" t="n">
        <v>61542923</v>
      </c>
    </row>
    <row r="32" customFormat="false" ht="15" hidden="false" customHeight="true" outlineLevel="0" collapsed="false">
      <c r="A32" s="30" t="s">
        <v>62</v>
      </c>
      <c r="B32" s="31" t="s">
        <v>387</v>
      </c>
      <c r="C32" s="30" t="s">
        <v>307</v>
      </c>
      <c r="D32" s="7" t="n">
        <v>2154200</v>
      </c>
      <c r="E32" s="31" t="s">
        <v>308</v>
      </c>
      <c r="F32" s="30" t="s">
        <v>309</v>
      </c>
      <c r="G32" s="31" t="s">
        <v>388</v>
      </c>
      <c r="H32" s="31" t="s">
        <v>311</v>
      </c>
      <c r="I32" s="31" t="s">
        <v>312</v>
      </c>
      <c r="J32" s="31" t="s">
        <v>311</v>
      </c>
      <c r="K32" s="31" t="s">
        <v>311</v>
      </c>
      <c r="L32" s="31" t="s">
        <v>311</v>
      </c>
      <c r="M32" s="31" t="s">
        <v>311</v>
      </c>
    </row>
    <row r="33" customFormat="false" ht="15" hidden="false" customHeight="true" outlineLevel="0" collapsed="false">
      <c r="A33" s="30" t="s">
        <v>158</v>
      </c>
      <c r="B33" s="31" t="s">
        <v>389</v>
      </c>
      <c r="C33" s="30" t="s">
        <v>307</v>
      </c>
      <c r="D33" s="7" t="n">
        <v>250000</v>
      </c>
      <c r="E33" s="31" t="s">
        <v>308</v>
      </c>
      <c r="F33" s="30" t="s">
        <v>320</v>
      </c>
      <c r="G33" s="31" t="s">
        <v>390</v>
      </c>
      <c r="H33" s="31" t="s">
        <v>311</v>
      </c>
      <c r="I33" s="31" t="s">
        <v>312</v>
      </c>
      <c r="J33" s="30" t="s">
        <v>322</v>
      </c>
      <c r="K33" s="31" t="s">
        <v>391</v>
      </c>
      <c r="L33" s="30" t="s">
        <v>392</v>
      </c>
      <c r="M33" s="31" t="n">
        <v>23210097</v>
      </c>
    </row>
    <row r="34" customFormat="false" ht="15" hidden="false" customHeight="true" outlineLevel="0" collapsed="false">
      <c r="A34" s="30" t="s">
        <v>139</v>
      </c>
      <c r="B34" s="31" t="s">
        <v>393</v>
      </c>
      <c r="C34" s="30" t="s">
        <v>307</v>
      </c>
      <c r="D34" s="7" t="n">
        <v>75000</v>
      </c>
      <c r="E34" s="31" t="s">
        <v>308</v>
      </c>
      <c r="F34" s="30" t="s">
        <v>309</v>
      </c>
      <c r="G34" s="31" t="s">
        <v>394</v>
      </c>
      <c r="H34" s="31" t="s">
        <v>311</v>
      </c>
      <c r="I34" s="31" t="s">
        <v>312</v>
      </c>
      <c r="J34" s="31" t="s">
        <v>311</v>
      </c>
      <c r="K34" s="31" t="s">
        <v>311</v>
      </c>
      <c r="L34" s="31" t="s">
        <v>311</v>
      </c>
      <c r="M34" s="31" t="s">
        <v>311</v>
      </c>
    </row>
    <row r="35" customFormat="false" ht="15" hidden="false" customHeight="true" outlineLevel="0" collapsed="false">
      <c r="A35" s="30" t="s">
        <v>159</v>
      </c>
      <c r="B35" s="31" t="s">
        <v>395</v>
      </c>
      <c r="C35" s="30" t="s">
        <v>307</v>
      </c>
      <c r="D35" s="7" t="n">
        <v>250000</v>
      </c>
      <c r="E35" s="31" t="s">
        <v>308</v>
      </c>
      <c r="F35" s="30" t="s">
        <v>320</v>
      </c>
      <c r="G35" s="31" t="s">
        <v>396</v>
      </c>
      <c r="H35" s="31" t="s">
        <v>311</v>
      </c>
      <c r="I35" s="31" t="s">
        <v>312</v>
      </c>
      <c r="J35" s="30" t="s">
        <v>322</v>
      </c>
      <c r="K35" s="31" t="s">
        <v>397</v>
      </c>
      <c r="L35" s="30" t="s">
        <v>373</v>
      </c>
      <c r="M35" s="31" t="n">
        <v>29511603</v>
      </c>
    </row>
    <row r="36" customFormat="false" ht="15" hidden="false" customHeight="true" outlineLevel="0" collapsed="false">
      <c r="A36" s="30" t="s">
        <v>71</v>
      </c>
      <c r="B36" s="31" t="s">
        <v>313</v>
      </c>
      <c r="C36" s="30" t="s">
        <v>307</v>
      </c>
      <c r="D36" s="7" t="n">
        <v>134000</v>
      </c>
      <c r="E36" s="31" t="s">
        <v>308</v>
      </c>
      <c r="F36" s="30" t="s">
        <v>309</v>
      </c>
      <c r="G36" s="31" t="s">
        <v>398</v>
      </c>
      <c r="H36" s="31" t="s">
        <v>311</v>
      </c>
      <c r="I36" s="31" t="s">
        <v>312</v>
      </c>
      <c r="J36" s="31" t="s">
        <v>311</v>
      </c>
      <c r="K36" s="31" t="s">
        <v>311</v>
      </c>
      <c r="L36" s="31" t="s">
        <v>311</v>
      </c>
      <c r="M36" s="31" t="s">
        <v>311</v>
      </c>
    </row>
    <row r="37" customFormat="false" ht="15" hidden="false" customHeight="true" outlineLevel="0" collapsed="false">
      <c r="A37" s="30" t="s">
        <v>107</v>
      </c>
      <c r="B37" s="31" t="s">
        <v>399</v>
      </c>
      <c r="C37" s="30" t="s">
        <v>307</v>
      </c>
      <c r="D37" s="7" t="n">
        <v>325000</v>
      </c>
      <c r="E37" s="31" t="s">
        <v>308</v>
      </c>
      <c r="F37" s="30" t="s">
        <v>309</v>
      </c>
      <c r="G37" s="31" t="s">
        <v>400</v>
      </c>
      <c r="H37" s="31" t="s">
        <v>311</v>
      </c>
      <c r="I37" s="31" t="s">
        <v>312</v>
      </c>
      <c r="J37" s="31" t="s">
        <v>311</v>
      </c>
      <c r="K37" s="31" t="s">
        <v>311</v>
      </c>
      <c r="L37" s="31" t="s">
        <v>311</v>
      </c>
      <c r="M37" s="31" t="s">
        <v>311</v>
      </c>
    </row>
    <row r="38" customFormat="false" ht="15" hidden="false" customHeight="true" outlineLevel="0" collapsed="false">
      <c r="A38" s="30" t="s">
        <v>101</v>
      </c>
      <c r="B38" s="31" t="s">
        <v>401</v>
      </c>
      <c r="C38" s="30" t="s">
        <v>307</v>
      </c>
      <c r="D38" s="7" t="n">
        <v>1000000</v>
      </c>
      <c r="E38" s="31" t="s">
        <v>308</v>
      </c>
      <c r="F38" s="30" t="s">
        <v>309</v>
      </c>
      <c r="G38" s="31" t="s">
        <v>402</v>
      </c>
      <c r="H38" s="31" t="s">
        <v>311</v>
      </c>
      <c r="I38" s="31" t="s">
        <v>312</v>
      </c>
      <c r="J38" s="31" t="s">
        <v>311</v>
      </c>
      <c r="K38" s="31" t="s">
        <v>311</v>
      </c>
      <c r="L38" s="31" t="s">
        <v>311</v>
      </c>
      <c r="M38" s="31" t="s">
        <v>311</v>
      </c>
    </row>
    <row r="39" customFormat="false" ht="15" hidden="false" customHeight="true" outlineLevel="0" collapsed="false">
      <c r="A39" s="30" t="s">
        <v>78</v>
      </c>
      <c r="B39" s="31" t="s">
        <v>403</v>
      </c>
      <c r="C39" s="30" t="s">
        <v>307</v>
      </c>
      <c r="D39" s="7" t="n">
        <v>9735000</v>
      </c>
      <c r="E39" s="31" t="s">
        <v>308</v>
      </c>
      <c r="F39" s="30" t="s">
        <v>309</v>
      </c>
      <c r="G39" s="31" t="s">
        <v>404</v>
      </c>
      <c r="H39" s="31" t="s">
        <v>311</v>
      </c>
      <c r="I39" s="31" t="s">
        <v>312</v>
      </c>
      <c r="J39" s="31" t="s">
        <v>311</v>
      </c>
      <c r="K39" s="31" t="s">
        <v>311</v>
      </c>
      <c r="L39" s="31" t="s">
        <v>311</v>
      </c>
      <c r="M39" s="31" t="s">
        <v>311</v>
      </c>
    </row>
    <row r="40" customFormat="false" ht="15" hidden="false" customHeight="true" outlineLevel="0" collapsed="false">
      <c r="A40" s="30" t="s">
        <v>207</v>
      </c>
      <c r="B40" s="31" t="s">
        <v>405</v>
      </c>
      <c r="C40" s="30" t="s">
        <v>307</v>
      </c>
      <c r="D40" s="7" t="n">
        <v>325000</v>
      </c>
      <c r="E40" s="31" t="s">
        <v>308</v>
      </c>
      <c r="F40" s="30" t="s">
        <v>320</v>
      </c>
      <c r="G40" s="31" t="s">
        <v>406</v>
      </c>
      <c r="H40" s="31" t="s">
        <v>311</v>
      </c>
      <c r="I40" s="31" t="s">
        <v>312</v>
      </c>
      <c r="J40" s="30" t="s">
        <v>322</v>
      </c>
      <c r="K40" s="31" t="s">
        <v>407</v>
      </c>
      <c r="L40" s="30" t="s">
        <v>383</v>
      </c>
      <c r="M40" s="31" t="n">
        <v>79312517</v>
      </c>
    </row>
    <row r="41" customFormat="false" ht="15" hidden="false" customHeight="true" outlineLevel="0" collapsed="false">
      <c r="A41" s="30" t="s">
        <v>115</v>
      </c>
      <c r="B41" s="31" t="s">
        <v>408</v>
      </c>
      <c r="C41" s="30" t="s">
        <v>307</v>
      </c>
      <c r="D41" s="7" t="n">
        <v>1000000</v>
      </c>
      <c r="E41" s="31" t="s">
        <v>308</v>
      </c>
      <c r="F41" s="30" t="s">
        <v>309</v>
      </c>
      <c r="G41" s="31" t="s">
        <v>409</v>
      </c>
      <c r="H41" s="31" t="s">
        <v>311</v>
      </c>
      <c r="I41" s="31" t="s">
        <v>312</v>
      </c>
      <c r="J41" s="31" t="s">
        <v>311</v>
      </c>
      <c r="K41" s="31" t="s">
        <v>311</v>
      </c>
      <c r="L41" s="31" t="s">
        <v>311</v>
      </c>
      <c r="M41" s="31" t="s">
        <v>311</v>
      </c>
    </row>
    <row r="42" customFormat="false" ht="15" hidden="false" customHeight="true" outlineLevel="0" collapsed="false">
      <c r="A42" s="30" t="s">
        <v>213</v>
      </c>
      <c r="B42" s="31" t="s">
        <v>410</v>
      </c>
      <c r="C42" s="31" t="s">
        <v>292</v>
      </c>
      <c r="D42" s="7" t="n">
        <v>8000</v>
      </c>
      <c r="E42" s="31" t="s">
        <v>411</v>
      </c>
      <c r="F42" s="30" t="s">
        <v>320</v>
      </c>
      <c r="G42" s="31" t="s">
        <v>412</v>
      </c>
      <c r="H42" s="31" t="s">
        <v>311</v>
      </c>
      <c r="I42" s="31" t="s">
        <v>411</v>
      </c>
      <c r="J42" s="30" t="s">
        <v>322</v>
      </c>
      <c r="K42" s="31" t="s">
        <v>413</v>
      </c>
      <c r="L42" s="30" t="s">
        <v>373</v>
      </c>
      <c r="M42" s="31" t="s">
        <v>414</v>
      </c>
    </row>
    <row r="43" customFormat="false" ht="15" hidden="false" customHeight="true" outlineLevel="0" collapsed="false">
      <c r="A43" s="30" t="s">
        <v>214</v>
      </c>
      <c r="B43" s="31" t="s">
        <v>415</v>
      </c>
      <c r="C43" s="31" t="s">
        <v>292</v>
      </c>
      <c r="D43" s="7" t="n">
        <v>8000</v>
      </c>
      <c r="E43" s="31" t="s">
        <v>416</v>
      </c>
      <c r="F43" s="30" t="s">
        <v>320</v>
      </c>
      <c r="G43" s="31" t="s">
        <v>417</v>
      </c>
      <c r="H43" s="31" t="s">
        <v>311</v>
      </c>
      <c r="I43" s="31" t="s">
        <v>418</v>
      </c>
      <c r="J43" s="30" t="s">
        <v>322</v>
      </c>
      <c r="K43" s="31" t="s">
        <v>419</v>
      </c>
      <c r="L43" s="30" t="s">
        <v>331</v>
      </c>
      <c r="M43" s="31" t="n">
        <v>13875947</v>
      </c>
    </row>
    <row r="44" customFormat="false" ht="15" hidden="false" customHeight="true" outlineLevel="0" collapsed="false">
      <c r="A44" s="30" t="s">
        <v>137</v>
      </c>
      <c r="B44" s="31" t="s">
        <v>420</v>
      </c>
      <c r="C44" s="31" t="s">
        <v>289</v>
      </c>
      <c r="D44" s="7" t="n">
        <v>191000</v>
      </c>
      <c r="E44" s="31" t="s">
        <v>421</v>
      </c>
      <c r="F44" s="30" t="s">
        <v>320</v>
      </c>
      <c r="G44" s="31" t="s">
        <v>422</v>
      </c>
      <c r="H44" s="31" t="s">
        <v>311</v>
      </c>
      <c r="I44" s="31" t="s">
        <v>418</v>
      </c>
      <c r="J44" s="30" t="s">
        <v>322</v>
      </c>
      <c r="K44" s="31" t="s">
        <v>423</v>
      </c>
      <c r="L44" s="30" t="s">
        <v>324</v>
      </c>
      <c r="M44" s="31" t="s">
        <v>424</v>
      </c>
    </row>
    <row r="45" customFormat="false" ht="15" hidden="false" customHeight="true" outlineLevel="0" collapsed="false">
      <c r="A45" s="30" t="s">
        <v>91</v>
      </c>
      <c r="B45" s="31" t="s">
        <v>425</v>
      </c>
      <c r="C45" s="31" t="s">
        <v>292</v>
      </c>
      <c r="D45" s="7" t="n">
        <v>100000</v>
      </c>
      <c r="E45" s="31" t="s">
        <v>291</v>
      </c>
      <c r="F45" s="30" t="s">
        <v>320</v>
      </c>
      <c r="G45" s="31" t="s">
        <v>426</v>
      </c>
      <c r="H45" s="31" t="s">
        <v>311</v>
      </c>
      <c r="I45" s="31" t="s">
        <v>421</v>
      </c>
      <c r="J45" s="30" t="s">
        <v>322</v>
      </c>
      <c r="K45" s="31" t="s">
        <v>427</v>
      </c>
      <c r="L45" s="30" t="s">
        <v>373</v>
      </c>
      <c r="M45" s="31" t="n">
        <v>12102910</v>
      </c>
    </row>
    <row r="46" customFormat="false" ht="15" hidden="false" customHeight="true" outlineLevel="0" collapsed="false">
      <c r="A46" s="30" t="s">
        <v>91</v>
      </c>
      <c r="B46" s="31" t="s">
        <v>425</v>
      </c>
      <c r="C46" s="31" t="s">
        <v>289</v>
      </c>
      <c r="D46" s="7" t="n">
        <v>100000</v>
      </c>
      <c r="E46" s="31" t="s">
        <v>291</v>
      </c>
      <c r="F46" s="30" t="s">
        <v>49</v>
      </c>
      <c r="G46" s="31" t="s">
        <v>428</v>
      </c>
      <c r="H46" s="31" t="s">
        <v>311</v>
      </c>
      <c r="I46" s="31" t="s">
        <v>291</v>
      </c>
      <c r="J46" s="31" t="s">
        <v>311</v>
      </c>
      <c r="K46" s="31" t="s">
        <v>311</v>
      </c>
      <c r="L46" s="31" t="s">
        <v>311</v>
      </c>
      <c r="M46" s="31" t="s">
        <v>311</v>
      </c>
    </row>
    <row r="47" customFormat="false" ht="15" hidden="false" customHeight="true" outlineLevel="0" collapsed="false">
      <c r="A47" s="30" t="s">
        <v>91</v>
      </c>
      <c r="B47" s="31" t="s">
        <v>425</v>
      </c>
      <c r="C47" s="31" t="s">
        <v>289</v>
      </c>
      <c r="D47" s="7" t="n">
        <v>201700</v>
      </c>
      <c r="E47" s="31" t="s">
        <v>429</v>
      </c>
      <c r="F47" s="30" t="s">
        <v>309</v>
      </c>
      <c r="G47" s="31" t="s">
        <v>430</v>
      </c>
      <c r="H47" s="31" t="s">
        <v>311</v>
      </c>
      <c r="I47" s="31" t="s">
        <v>421</v>
      </c>
      <c r="J47" s="31" t="s">
        <v>311</v>
      </c>
      <c r="K47" s="31" t="s">
        <v>311</v>
      </c>
      <c r="L47" s="31" t="s">
        <v>311</v>
      </c>
      <c r="M47" s="31" t="s">
        <v>311</v>
      </c>
    </row>
    <row r="48" customFormat="false" ht="15" hidden="false" customHeight="true" outlineLevel="0" collapsed="false">
      <c r="A48" s="30" t="s">
        <v>280</v>
      </c>
      <c r="B48" s="31" t="s">
        <v>431</v>
      </c>
      <c r="C48" s="31" t="s">
        <v>292</v>
      </c>
      <c r="D48" s="7" t="n">
        <v>16000</v>
      </c>
      <c r="E48" s="31" t="s">
        <v>429</v>
      </c>
      <c r="F48" s="30" t="s">
        <v>320</v>
      </c>
      <c r="G48" s="31" t="s">
        <v>432</v>
      </c>
      <c r="H48" s="31" t="s">
        <v>311</v>
      </c>
      <c r="I48" s="31" t="s">
        <v>291</v>
      </c>
      <c r="J48" s="30" t="s">
        <v>322</v>
      </c>
      <c r="K48" s="31" t="s">
        <v>433</v>
      </c>
      <c r="L48" s="30" t="s">
        <v>324</v>
      </c>
      <c r="M48" s="31" t="s">
        <v>434</v>
      </c>
    </row>
    <row r="49" customFormat="false" ht="15" hidden="false" customHeight="true" outlineLevel="0" collapsed="false">
      <c r="A49" s="30" t="s">
        <v>209</v>
      </c>
      <c r="B49" s="31" t="s">
        <v>370</v>
      </c>
      <c r="C49" s="30" t="s">
        <v>435</v>
      </c>
      <c r="D49" s="7" t="n">
        <v>220000</v>
      </c>
      <c r="E49" s="31" t="s">
        <v>429</v>
      </c>
      <c r="F49" s="30" t="s">
        <v>320</v>
      </c>
      <c r="G49" s="31" t="s">
        <v>436</v>
      </c>
      <c r="H49" s="31" t="s">
        <v>311</v>
      </c>
      <c r="I49" s="31" t="s">
        <v>291</v>
      </c>
      <c r="J49" s="30" t="s">
        <v>322</v>
      </c>
      <c r="K49" s="31" t="s">
        <v>437</v>
      </c>
      <c r="L49" s="30" t="s">
        <v>373</v>
      </c>
      <c r="M49" s="31" t="s">
        <v>438</v>
      </c>
    </row>
    <row r="50" customFormat="false" ht="15" hidden="false" customHeight="true" outlineLevel="0" collapsed="false">
      <c r="A50" s="30" t="s">
        <v>215</v>
      </c>
      <c r="B50" s="31" t="s">
        <v>439</v>
      </c>
      <c r="C50" s="31" t="s">
        <v>292</v>
      </c>
      <c r="D50" s="7" t="n">
        <v>8000</v>
      </c>
      <c r="E50" s="31" t="s">
        <v>440</v>
      </c>
      <c r="F50" s="30" t="s">
        <v>320</v>
      </c>
      <c r="G50" s="31" t="s">
        <v>441</v>
      </c>
      <c r="H50" s="31" t="s">
        <v>311</v>
      </c>
      <c r="I50" s="31" t="s">
        <v>421</v>
      </c>
      <c r="J50" s="30" t="s">
        <v>322</v>
      </c>
      <c r="K50" s="31" t="s">
        <v>442</v>
      </c>
      <c r="L50" s="30" t="s">
        <v>373</v>
      </c>
      <c r="M50" s="31" t="n">
        <v>11100410</v>
      </c>
    </row>
    <row r="51" customFormat="false" ht="15" hidden="false" customHeight="true" outlineLevel="0" collapsed="false">
      <c r="A51" s="30" t="s">
        <v>215</v>
      </c>
      <c r="B51" s="31" t="s">
        <v>439</v>
      </c>
      <c r="C51" s="31" t="s">
        <v>292</v>
      </c>
      <c r="D51" s="7" t="n">
        <v>100000</v>
      </c>
      <c r="E51" s="31" t="s">
        <v>440</v>
      </c>
      <c r="F51" s="30" t="s">
        <v>49</v>
      </c>
      <c r="G51" s="31" t="s">
        <v>443</v>
      </c>
      <c r="H51" s="31" t="s">
        <v>311</v>
      </c>
      <c r="I51" s="31" t="s">
        <v>440</v>
      </c>
      <c r="J51" s="31" t="s">
        <v>311</v>
      </c>
      <c r="K51" s="31" t="s">
        <v>311</v>
      </c>
      <c r="L51" s="31" t="s">
        <v>311</v>
      </c>
      <c r="M51" s="31" t="s">
        <v>311</v>
      </c>
    </row>
    <row r="52" customFormat="false" ht="15" hidden="false" customHeight="true" outlineLevel="0" collapsed="false">
      <c r="A52" s="30" t="s">
        <v>150</v>
      </c>
      <c r="B52" s="31" t="s">
        <v>444</v>
      </c>
      <c r="C52" s="31" t="s">
        <v>289</v>
      </c>
      <c r="D52" s="7" t="n">
        <v>167700</v>
      </c>
      <c r="E52" s="31" t="s">
        <v>440</v>
      </c>
      <c r="F52" s="30" t="s">
        <v>320</v>
      </c>
      <c r="G52" s="31" t="s">
        <v>445</v>
      </c>
      <c r="H52" s="31" t="s">
        <v>311</v>
      </c>
      <c r="I52" s="31" t="s">
        <v>421</v>
      </c>
      <c r="J52" s="30" t="s">
        <v>322</v>
      </c>
      <c r="K52" s="31" t="s">
        <v>446</v>
      </c>
      <c r="L52" s="30" t="s">
        <v>383</v>
      </c>
      <c r="M52" s="31" t="n">
        <v>73443445</v>
      </c>
    </row>
    <row r="53" customFormat="false" ht="15" hidden="false" customHeight="true" outlineLevel="0" collapsed="false">
      <c r="A53" s="30" t="s">
        <v>447</v>
      </c>
      <c r="B53" s="31" t="s">
        <v>360</v>
      </c>
      <c r="C53" s="31" t="s">
        <v>289</v>
      </c>
      <c r="D53" s="7" t="n">
        <v>182900</v>
      </c>
      <c r="E53" s="31" t="s">
        <v>440</v>
      </c>
      <c r="F53" s="30" t="s">
        <v>309</v>
      </c>
      <c r="G53" s="31" t="s">
        <v>448</v>
      </c>
      <c r="H53" s="31" t="s">
        <v>311</v>
      </c>
      <c r="I53" s="31" t="s">
        <v>421</v>
      </c>
      <c r="J53" s="31" t="s">
        <v>311</v>
      </c>
      <c r="K53" s="31" t="s">
        <v>311</v>
      </c>
      <c r="L53" s="31" t="s">
        <v>311</v>
      </c>
      <c r="M53" s="31" t="s">
        <v>311</v>
      </c>
    </row>
    <row r="54" customFormat="false" ht="15" hidden="false" customHeight="true" outlineLevel="0" collapsed="false">
      <c r="A54" s="30" t="s">
        <v>449</v>
      </c>
      <c r="B54" s="31" t="s">
        <v>450</v>
      </c>
      <c r="C54" s="31" t="s">
        <v>289</v>
      </c>
      <c r="D54" s="7" t="n">
        <v>147000</v>
      </c>
      <c r="E54" s="31" t="s">
        <v>440</v>
      </c>
      <c r="F54" s="30" t="s">
        <v>320</v>
      </c>
      <c r="G54" s="31" t="s">
        <v>451</v>
      </c>
      <c r="H54" s="31" t="s">
        <v>311</v>
      </c>
      <c r="I54" s="31" t="s">
        <v>421</v>
      </c>
      <c r="J54" s="30" t="s">
        <v>322</v>
      </c>
      <c r="K54" s="31" t="s">
        <v>452</v>
      </c>
      <c r="L54" s="30" t="s">
        <v>331</v>
      </c>
      <c r="M54" s="31" t="n">
        <v>33732572</v>
      </c>
    </row>
    <row r="55" customFormat="false" ht="15" hidden="false" customHeight="true" outlineLevel="0" collapsed="false">
      <c r="A55" s="30" t="s">
        <v>132</v>
      </c>
      <c r="B55" s="31" t="s">
        <v>453</v>
      </c>
      <c r="C55" s="31" t="s">
        <v>289</v>
      </c>
      <c r="D55" s="7" t="n">
        <v>211700</v>
      </c>
      <c r="E55" s="31" t="s">
        <v>440</v>
      </c>
      <c r="F55" s="30" t="s">
        <v>320</v>
      </c>
      <c r="G55" s="31" t="s">
        <v>454</v>
      </c>
      <c r="H55" s="31" t="s">
        <v>311</v>
      </c>
      <c r="I55" s="31" t="s">
        <v>421</v>
      </c>
      <c r="J55" s="30" t="s">
        <v>322</v>
      </c>
      <c r="K55" s="31" t="s">
        <v>455</v>
      </c>
      <c r="L55" s="30" t="s">
        <v>324</v>
      </c>
      <c r="M55" s="31" t="s">
        <v>456</v>
      </c>
    </row>
    <row r="56" customFormat="false" ht="15" hidden="false" customHeight="true" outlineLevel="0" collapsed="false">
      <c r="A56" s="30" t="s">
        <v>122</v>
      </c>
      <c r="B56" s="31" t="s">
        <v>457</v>
      </c>
      <c r="C56" s="31" t="s">
        <v>289</v>
      </c>
      <c r="D56" s="7" t="n">
        <v>173000</v>
      </c>
      <c r="E56" s="31" t="s">
        <v>440</v>
      </c>
      <c r="F56" s="30" t="s">
        <v>320</v>
      </c>
      <c r="G56" s="31" t="s">
        <v>458</v>
      </c>
      <c r="H56" s="31" t="s">
        <v>311</v>
      </c>
      <c r="I56" s="31" t="s">
        <v>421</v>
      </c>
      <c r="J56" s="30" t="s">
        <v>322</v>
      </c>
      <c r="K56" s="31" t="s">
        <v>459</v>
      </c>
      <c r="L56" s="30" t="s">
        <v>324</v>
      </c>
      <c r="M56" s="31" t="s">
        <v>460</v>
      </c>
    </row>
    <row r="57" customFormat="false" ht="15" hidden="false" customHeight="true" outlineLevel="0" collapsed="false">
      <c r="A57" s="30" t="s">
        <v>461</v>
      </c>
      <c r="B57" s="31" t="s">
        <v>462</v>
      </c>
      <c r="C57" s="31" t="s">
        <v>289</v>
      </c>
      <c r="D57" s="7" t="n">
        <v>301000</v>
      </c>
      <c r="E57" s="31" t="s">
        <v>440</v>
      </c>
      <c r="F57" s="30" t="s">
        <v>309</v>
      </c>
      <c r="G57" s="31" t="s">
        <v>463</v>
      </c>
      <c r="H57" s="31" t="s">
        <v>311</v>
      </c>
      <c r="I57" s="31" t="s">
        <v>421</v>
      </c>
      <c r="J57" s="31" t="s">
        <v>311</v>
      </c>
      <c r="K57" s="31" t="s">
        <v>311</v>
      </c>
      <c r="L57" s="31" t="s">
        <v>311</v>
      </c>
      <c r="M57" s="31" t="s">
        <v>311</v>
      </c>
    </row>
    <row r="58" customFormat="false" ht="15" hidden="false" customHeight="true" outlineLevel="0" collapsed="false">
      <c r="A58" s="30" t="s">
        <v>86</v>
      </c>
      <c r="B58" s="31" t="s">
        <v>464</v>
      </c>
      <c r="C58" s="31" t="s">
        <v>289</v>
      </c>
      <c r="D58" s="7" t="n">
        <v>291000</v>
      </c>
      <c r="E58" s="31" t="s">
        <v>290</v>
      </c>
      <c r="F58" s="30" t="s">
        <v>309</v>
      </c>
      <c r="G58" s="31" t="s">
        <v>465</v>
      </c>
      <c r="H58" s="31" t="s">
        <v>311</v>
      </c>
      <c r="I58" s="31" t="s">
        <v>421</v>
      </c>
      <c r="J58" s="31" t="s">
        <v>311</v>
      </c>
      <c r="K58" s="31" t="s">
        <v>311</v>
      </c>
      <c r="L58" s="31" t="s">
        <v>311</v>
      </c>
      <c r="M58" s="31" t="s">
        <v>311</v>
      </c>
    </row>
    <row r="59" customFormat="false" ht="15" hidden="false" customHeight="true" outlineLevel="0" collapsed="false">
      <c r="A59" s="30" t="s">
        <v>130</v>
      </c>
      <c r="B59" s="31" t="s">
        <v>317</v>
      </c>
      <c r="C59" s="31" t="s">
        <v>292</v>
      </c>
      <c r="D59" s="7" t="n">
        <v>75000</v>
      </c>
      <c r="E59" s="31" t="s">
        <v>290</v>
      </c>
      <c r="F59" s="30" t="s">
        <v>320</v>
      </c>
      <c r="G59" s="31" t="s">
        <v>466</v>
      </c>
      <c r="H59" s="31" t="s">
        <v>311</v>
      </c>
      <c r="I59" s="31" t="s">
        <v>421</v>
      </c>
      <c r="J59" s="30" t="s">
        <v>322</v>
      </c>
      <c r="K59" s="31" t="s">
        <v>467</v>
      </c>
      <c r="L59" s="30" t="s">
        <v>468</v>
      </c>
      <c r="M59" s="31" t="n">
        <v>30022490</v>
      </c>
    </row>
    <row r="60" customFormat="false" ht="15" hidden="false" customHeight="true" outlineLevel="0" collapsed="false">
      <c r="A60" s="30" t="s">
        <v>469</v>
      </c>
      <c r="B60" s="31" t="s">
        <v>470</v>
      </c>
      <c r="C60" s="31" t="s">
        <v>292</v>
      </c>
      <c r="D60" s="7" t="n">
        <v>100000</v>
      </c>
      <c r="E60" s="31" t="s">
        <v>290</v>
      </c>
      <c r="F60" s="30" t="s">
        <v>320</v>
      </c>
      <c r="G60" s="31" t="s">
        <v>471</v>
      </c>
      <c r="H60" s="31" t="s">
        <v>311</v>
      </c>
      <c r="I60" s="31" t="s">
        <v>421</v>
      </c>
      <c r="J60" s="30" t="s">
        <v>322</v>
      </c>
      <c r="K60" s="31" t="s">
        <v>472</v>
      </c>
      <c r="L60" s="30" t="s">
        <v>373</v>
      </c>
      <c r="M60" s="31" t="n">
        <v>19100310</v>
      </c>
    </row>
    <row r="61" customFormat="false" ht="15" hidden="false" customHeight="true" outlineLevel="0" collapsed="false">
      <c r="A61" s="30" t="s">
        <v>106</v>
      </c>
      <c r="B61" s="31" t="s">
        <v>473</v>
      </c>
      <c r="C61" s="31" t="s">
        <v>292</v>
      </c>
      <c r="D61" s="7" t="n">
        <v>100000</v>
      </c>
      <c r="E61" s="31" t="s">
        <v>290</v>
      </c>
      <c r="F61" s="30" t="s">
        <v>320</v>
      </c>
      <c r="G61" s="31" t="s">
        <v>474</v>
      </c>
      <c r="H61" s="31" t="s">
        <v>311</v>
      </c>
      <c r="I61" s="31" t="s">
        <v>421</v>
      </c>
      <c r="J61" s="30" t="s">
        <v>322</v>
      </c>
      <c r="K61" s="31" t="s">
        <v>475</v>
      </c>
      <c r="L61" s="30" t="s">
        <v>373</v>
      </c>
      <c r="M61" s="31" t="n">
        <v>11100410</v>
      </c>
    </row>
    <row r="62" customFormat="false" ht="15" hidden="false" customHeight="true" outlineLevel="0" collapsed="false">
      <c r="A62" s="30" t="s">
        <v>476</v>
      </c>
      <c r="B62" s="31" t="s">
        <v>477</v>
      </c>
      <c r="C62" s="31" t="s">
        <v>292</v>
      </c>
      <c r="D62" s="7" t="n">
        <v>100000</v>
      </c>
      <c r="E62" s="31" t="s">
        <v>290</v>
      </c>
      <c r="F62" s="30" t="s">
        <v>320</v>
      </c>
      <c r="G62" s="31" t="s">
        <v>478</v>
      </c>
      <c r="H62" s="31" t="s">
        <v>311</v>
      </c>
      <c r="I62" s="31" t="s">
        <v>421</v>
      </c>
      <c r="J62" s="30" t="s">
        <v>322</v>
      </c>
      <c r="K62" s="31" t="s">
        <v>479</v>
      </c>
      <c r="L62" s="30" t="s">
        <v>383</v>
      </c>
      <c r="M62" s="31" t="n">
        <v>75399436</v>
      </c>
    </row>
    <row r="63" customFormat="false" ht="15" hidden="false" customHeight="true" outlineLevel="0" collapsed="false">
      <c r="A63" s="30" t="s">
        <v>50</v>
      </c>
      <c r="B63" s="31" t="s">
        <v>480</v>
      </c>
      <c r="C63" s="31" t="s">
        <v>292</v>
      </c>
      <c r="D63" s="7" t="n">
        <v>100000</v>
      </c>
      <c r="E63" s="31" t="s">
        <v>290</v>
      </c>
      <c r="F63" s="30" t="s">
        <v>309</v>
      </c>
      <c r="G63" s="31" t="s">
        <v>481</v>
      </c>
      <c r="H63" s="31" t="s">
        <v>311</v>
      </c>
      <c r="I63" s="31" t="s">
        <v>421</v>
      </c>
      <c r="J63" s="31" t="s">
        <v>311</v>
      </c>
      <c r="K63" s="31" t="s">
        <v>311</v>
      </c>
      <c r="L63" s="31" t="s">
        <v>311</v>
      </c>
      <c r="M63" s="31" t="s">
        <v>311</v>
      </c>
    </row>
    <row r="64" customFormat="false" ht="15" hidden="false" customHeight="true" outlineLevel="0" collapsed="false">
      <c r="A64" s="30" t="s">
        <v>110</v>
      </c>
      <c r="B64" s="31" t="s">
        <v>482</v>
      </c>
      <c r="C64" s="31" t="s">
        <v>292</v>
      </c>
      <c r="D64" s="7" t="n">
        <v>70000</v>
      </c>
      <c r="E64" s="31" t="s">
        <v>290</v>
      </c>
      <c r="F64" s="30" t="s">
        <v>309</v>
      </c>
      <c r="G64" s="31" t="s">
        <v>483</v>
      </c>
      <c r="H64" s="31" t="s">
        <v>311</v>
      </c>
      <c r="I64" s="31" t="s">
        <v>421</v>
      </c>
      <c r="J64" s="31" t="s">
        <v>311</v>
      </c>
      <c r="K64" s="31" t="s">
        <v>311</v>
      </c>
      <c r="L64" s="31" t="s">
        <v>311</v>
      </c>
      <c r="M64" s="31" t="s">
        <v>311</v>
      </c>
    </row>
    <row r="65" customFormat="false" ht="15" hidden="false" customHeight="true" outlineLevel="0" collapsed="false">
      <c r="A65" s="30" t="s">
        <v>108</v>
      </c>
      <c r="B65" s="31" t="s">
        <v>484</v>
      </c>
      <c r="C65" s="31" t="s">
        <v>292</v>
      </c>
      <c r="D65" s="7" t="n">
        <v>75000</v>
      </c>
      <c r="E65" s="31" t="s">
        <v>290</v>
      </c>
      <c r="F65" s="30" t="s">
        <v>320</v>
      </c>
      <c r="G65" s="31" t="s">
        <v>485</v>
      </c>
      <c r="H65" s="31" t="s">
        <v>311</v>
      </c>
      <c r="I65" s="31" t="s">
        <v>421</v>
      </c>
      <c r="J65" s="30" t="s">
        <v>322</v>
      </c>
      <c r="K65" s="31" t="s">
        <v>486</v>
      </c>
      <c r="L65" s="30" t="s">
        <v>383</v>
      </c>
      <c r="M65" s="31" t="n">
        <v>75189031</v>
      </c>
    </row>
    <row r="66" customFormat="false" ht="15" hidden="false" customHeight="true" outlineLevel="0" collapsed="false">
      <c r="A66" s="30" t="s">
        <v>487</v>
      </c>
      <c r="B66" s="31" t="s">
        <v>464</v>
      </c>
      <c r="C66" s="31" t="s">
        <v>292</v>
      </c>
      <c r="D66" s="7" t="n">
        <v>100000</v>
      </c>
      <c r="E66" s="31" t="s">
        <v>290</v>
      </c>
      <c r="F66" s="30" t="s">
        <v>309</v>
      </c>
      <c r="G66" s="31" t="s">
        <v>488</v>
      </c>
      <c r="H66" s="31" t="s">
        <v>311</v>
      </c>
      <c r="I66" s="31" t="s">
        <v>421</v>
      </c>
      <c r="J66" s="31" t="s">
        <v>311</v>
      </c>
      <c r="K66" s="31" t="s">
        <v>311</v>
      </c>
      <c r="L66" s="31" t="s">
        <v>311</v>
      </c>
      <c r="M66" s="31" t="s">
        <v>311</v>
      </c>
    </row>
    <row r="67" customFormat="false" ht="15" hidden="false" customHeight="true" outlineLevel="0" collapsed="false">
      <c r="A67" s="30" t="s">
        <v>67</v>
      </c>
      <c r="B67" s="31" t="s">
        <v>489</v>
      </c>
      <c r="C67" s="31" t="s">
        <v>292</v>
      </c>
      <c r="D67" s="7" t="n">
        <v>100000</v>
      </c>
      <c r="E67" s="31" t="s">
        <v>290</v>
      </c>
      <c r="F67" s="30" t="s">
        <v>309</v>
      </c>
      <c r="G67" s="31" t="s">
        <v>490</v>
      </c>
      <c r="H67" s="31" t="s">
        <v>311</v>
      </c>
      <c r="I67" s="31" t="s">
        <v>421</v>
      </c>
      <c r="J67" s="31" t="s">
        <v>311</v>
      </c>
      <c r="K67" s="31" t="s">
        <v>311</v>
      </c>
      <c r="L67" s="31" t="s">
        <v>311</v>
      </c>
      <c r="M67" s="31" t="s">
        <v>311</v>
      </c>
    </row>
    <row r="68" customFormat="false" ht="15" hidden="false" customHeight="true" outlineLevel="0" collapsed="false">
      <c r="A68" s="30" t="s">
        <v>209</v>
      </c>
      <c r="B68" s="31" t="s">
        <v>370</v>
      </c>
      <c r="C68" s="31" t="s">
        <v>292</v>
      </c>
      <c r="D68" s="7" t="n">
        <v>100000</v>
      </c>
      <c r="E68" s="31" t="s">
        <v>290</v>
      </c>
      <c r="F68" s="30" t="s">
        <v>320</v>
      </c>
      <c r="G68" s="31" t="s">
        <v>491</v>
      </c>
      <c r="H68" s="31" t="s">
        <v>311</v>
      </c>
      <c r="I68" s="31" t="s">
        <v>421</v>
      </c>
      <c r="J68" s="30" t="s">
        <v>322</v>
      </c>
      <c r="K68" s="31" t="s">
        <v>492</v>
      </c>
      <c r="L68" s="30" t="s">
        <v>373</v>
      </c>
      <c r="M68" s="31" t="n">
        <v>26328604</v>
      </c>
    </row>
    <row r="69" customFormat="false" ht="15" hidden="false" customHeight="true" outlineLevel="0" collapsed="false">
      <c r="A69" s="30" t="s">
        <v>138</v>
      </c>
      <c r="B69" s="31" t="s">
        <v>493</v>
      </c>
      <c r="C69" s="31" t="s">
        <v>289</v>
      </c>
      <c r="D69" s="7" t="n">
        <v>200700</v>
      </c>
      <c r="E69" s="31" t="s">
        <v>290</v>
      </c>
      <c r="F69" s="30" t="s">
        <v>320</v>
      </c>
      <c r="G69" s="31" t="s">
        <v>494</v>
      </c>
      <c r="H69" s="31" t="s">
        <v>311</v>
      </c>
      <c r="I69" s="31" t="s">
        <v>421</v>
      </c>
      <c r="J69" s="30" t="s">
        <v>322</v>
      </c>
      <c r="K69" s="31" t="s">
        <v>495</v>
      </c>
      <c r="L69" s="30" t="s">
        <v>324</v>
      </c>
      <c r="M69" s="31" t="s">
        <v>496</v>
      </c>
    </row>
    <row r="70" customFormat="false" ht="15" hidden="false" customHeight="true" outlineLevel="0" collapsed="false">
      <c r="A70" s="30" t="s">
        <v>63</v>
      </c>
      <c r="B70" s="31" t="s">
        <v>497</v>
      </c>
      <c r="C70" s="31" t="s">
        <v>289</v>
      </c>
      <c r="D70" s="7" t="n">
        <v>200700</v>
      </c>
      <c r="E70" s="31" t="s">
        <v>290</v>
      </c>
      <c r="F70" s="30" t="s">
        <v>309</v>
      </c>
      <c r="G70" s="31" t="s">
        <v>498</v>
      </c>
      <c r="H70" s="31" t="s">
        <v>311</v>
      </c>
      <c r="I70" s="31" t="s">
        <v>421</v>
      </c>
      <c r="J70" s="31" t="s">
        <v>311</v>
      </c>
      <c r="K70" s="31" t="s">
        <v>311</v>
      </c>
      <c r="L70" s="31" t="s">
        <v>311</v>
      </c>
      <c r="M70" s="31" t="s">
        <v>311</v>
      </c>
    </row>
    <row r="71" customFormat="false" ht="15" hidden="false" customHeight="true" outlineLevel="0" collapsed="false">
      <c r="A71" s="30" t="s">
        <v>153</v>
      </c>
      <c r="B71" s="31" t="s">
        <v>499</v>
      </c>
      <c r="C71" s="31" t="s">
        <v>289</v>
      </c>
      <c r="D71" s="7" t="n">
        <v>200700</v>
      </c>
      <c r="E71" s="31" t="s">
        <v>290</v>
      </c>
      <c r="F71" s="30" t="s">
        <v>320</v>
      </c>
      <c r="G71" s="31" t="s">
        <v>500</v>
      </c>
      <c r="H71" s="31" t="s">
        <v>311</v>
      </c>
      <c r="I71" s="31" t="s">
        <v>421</v>
      </c>
      <c r="J71" s="30" t="s">
        <v>322</v>
      </c>
      <c r="K71" s="31" t="s">
        <v>501</v>
      </c>
      <c r="L71" s="30" t="s">
        <v>324</v>
      </c>
      <c r="M71" s="31" t="s">
        <v>502</v>
      </c>
    </row>
    <row r="72" customFormat="false" ht="15" hidden="false" customHeight="true" outlineLevel="0" collapsed="false">
      <c r="A72" s="30" t="s">
        <v>78</v>
      </c>
      <c r="B72" s="31" t="s">
        <v>403</v>
      </c>
      <c r="C72" s="31" t="s">
        <v>289</v>
      </c>
      <c r="D72" s="7" t="n">
        <v>191200</v>
      </c>
      <c r="E72" s="31" t="s">
        <v>290</v>
      </c>
      <c r="F72" s="30" t="s">
        <v>309</v>
      </c>
      <c r="G72" s="31" t="s">
        <v>503</v>
      </c>
      <c r="H72" s="31" t="s">
        <v>311</v>
      </c>
      <c r="I72" s="31" t="s">
        <v>421</v>
      </c>
      <c r="J72" s="31" t="s">
        <v>311</v>
      </c>
      <c r="K72" s="31" t="s">
        <v>311</v>
      </c>
      <c r="L72" s="31" t="s">
        <v>311</v>
      </c>
      <c r="M72" s="31" t="s">
        <v>311</v>
      </c>
    </row>
    <row r="73" customFormat="false" ht="15" hidden="false" customHeight="true" outlineLevel="0" collapsed="false">
      <c r="A73" s="30" t="s">
        <v>207</v>
      </c>
      <c r="B73" s="31" t="s">
        <v>405</v>
      </c>
      <c r="C73" s="31" t="s">
        <v>289</v>
      </c>
      <c r="D73" s="7" t="n">
        <v>191000</v>
      </c>
      <c r="E73" s="31" t="s">
        <v>290</v>
      </c>
      <c r="F73" s="30" t="s">
        <v>320</v>
      </c>
      <c r="G73" s="31" t="s">
        <v>504</v>
      </c>
      <c r="H73" s="31" t="s">
        <v>311</v>
      </c>
      <c r="I73" s="31" t="s">
        <v>421</v>
      </c>
      <c r="J73" s="30" t="s">
        <v>322</v>
      </c>
      <c r="K73" s="31" t="s">
        <v>505</v>
      </c>
      <c r="L73" s="30" t="s">
        <v>383</v>
      </c>
      <c r="M73" s="31" t="n">
        <v>75019140</v>
      </c>
    </row>
    <row r="74" customFormat="false" ht="15" hidden="false" customHeight="true" outlineLevel="0" collapsed="false">
      <c r="A74" s="30" t="s">
        <v>101</v>
      </c>
      <c r="B74" s="31" t="s">
        <v>401</v>
      </c>
      <c r="C74" s="31" t="s">
        <v>289</v>
      </c>
      <c r="D74" s="7" t="n">
        <v>191200</v>
      </c>
      <c r="E74" s="31" t="s">
        <v>290</v>
      </c>
      <c r="F74" s="30" t="s">
        <v>309</v>
      </c>
      <c r="G74" s="31" t="s">
        <v>506</v>
      </c>
      <c r="H74" s="31" t="s">
        <v>311</v>
      </c>
      <c r="I74" s="31" t="s">
        <v>421</v>
      </c>
      <c r="J74" s="31" t="s">
        <v>311</v>
      </c>
      <c r="K74" s="31" t="s">
        <v>311</v>
      </c>
      <c r="L74" s="31" t="s">
        <v>311</v>
      </c>
      <c r="M74" s="31" t="s">
        <v>311</v>
      </c>
    </row>
    <row r="75" customFormat="false" ht="15" hidden="false" customHeight="true" outlineLevel="0" collapsed="false">
      <c r="A75" s="30" t="s">
        <v>96</v>
      </c>
      <c r="B75" s="31" t="s">
        <v>477</v>
      </c>
      <c r="C75" s="31" t="s">
        <v>289</v>
      </c>
      <c r="D75" s="7" t="n">
        <v>160000</v>
      </c>
      <c r="E75" s="31" t="s">
        <v>290</v>
      </c>
      <c r="F75" s="30" t="s">
        <v>309</v>
      </c>
      <c r="G75" s="31" t="s">
        <v>507</v>
      </c>
      <c r="H75" s="31" t="s">
        <v>311</v>
      </c>
      <c r="I75" s="31" t="s">
        <v>421</v>
      </c>
      <c r="J75" s="31" t="s">
        <v>311</v>
      </c>
      <c r="K75" s="31" t="s">
        <v>311</v>
      </c>
      <c r="L75" s="31" t="s">
        <v>311</v>
      </c>
      <c r="M75" s="31" t="s">
        <v>311</v>
      </c>
    </row>
    <row r="76" customFormat="false" ht="15" hidden="false" customHeight="true" outlineLevel="0" collapsed="false">
      <c r="A76" s="30" t="s">
        <v>79</v>
      </c>
      <c r="B76" s="31" t="s">
        <v>508</v>
      </c>
      <c r="C76" s="31" t="s">
        <v>289</v>
      </c>
      <c r="D76" s="7" t="n">
        <v>191000</v>
      </c>
      <c r="E76" s="31" t="s">
        <v>290</v>
      </c>
      <c r="F76" s="30" t="s">
        <v>309</v>
      </c>
      <c r="G76" s="31" t="s">
        <v>509</v>
      </c>
      <c r="H76" s="31" t="s">
        <v>311</v>
      </c>
      <c r="I76" s="31" t="s">
        <v>421</v>
      </c>
      <c r="J76" s="31" t="s">
        <v>311</v>
      </c>
      <c r="K76" s="31" t="s">
        <v>311</v>
      </c>
      <c r="L76" s="31" t="s">
        <v>311</v>
      </c>
      <c r="M76" s="31" t="s">
        <v>311</v>
      </c>
    </row>
    <row r="77" customFormat="false" ht="15" hidden="false" customHeight="true" outlineLevel="0" collapsed="false">
      <c r="A77" s="30" t="s">
        <v>115</v>
      </c>
      <c r="B77" s="31" t="s">
        <v>408</v>
      </c>
      <c r="C77" s="31" t="s">
        <v>289</v>
      </c>
      <c r="D77" s="7" t="n">
        <v>191200</v>
      </c>
      <c r="E77" s="31" t="s">
        <v>290</v>
      </c>
      <c r="F77" s="30" t="s">
        <v>320</v>
      </c>
      <c r="G77" s="31" t="s">
        <v>510</v>
      </c>
      <c r="H77" s="31" t="s">
        <v>311</v>
      </c>
      <c r="I77" s="31" t="s">
        <v>421</v>
      </c>
      <c r="J77" s="30" t="s">
        <v>322</v>
      </c>
      <c r="K77" s="31" t="s">
        <v>511</v>
      </c>
      <c r="L77" s="30" t="s">
        <v>331</v>
      </c>
      <c r="M77" s="31" t="n">
        <v>22961839</v>
      </c>
    </row>
    <row r="78" customFormat="false" ht="15" hidden="false" customHeight="true" outlineLevel="0" collapsed="false">
      <c r="A78" s="30" t="s">
        <v>220</v>
      </c>
      <c r="B78" s="31" t="s">
        <v>512</v>
      </c>
      <c r="C78" s="31" t="s">
        <v>289</v>
      </c>
      <c r="D78" s="7" t="n">
        <v>160000</v>
      </c>
      <c r="E78" s="31" t="s">
        <v>290</v>
      </c>
      <c r="F78" s="30" t="s">
        <v>309</v>
      </c>
      <c r="G78" s="31" t="s">
        <v>513</v>
      </c>
      <c r="H78" s="31" t="s">
        <v>311</v>
      </c>
      <c r="I78" s="31" t="s">
        <v>421</v>
      </c>
      <c r="J78" s="31" t="s">
        <v>311</v>
      </c>
      <c r="K78" s="31" t="s">
        <v>311</v>
      </c>
      <c r="L78" s="31" t="s">
        <v>311</v>
      </c>
      <c r="M78" s="31" t="s">
        <v>311</v>
      </c>
    </row>
    <row r="79" customFormat="false" ht="15" hidden="false" customHeight="true" outlineLevel="0" collapsed="false">
      <c r="A79" s="30" t="s">
        <v>146</v>
      </c>
      <c r="B79" s="31" t="s">
        <v>514</v>
      </c>
      <c r="C79" s="31" t="s">
        <v>289</v>
      </c>
      <c r="D79" s="7" t="n">
        <v>160000</v>
      </c>
      <c r="E79" s="31" t="s">
        <v>290</v>
      </c>
      <c r="F79" s="30" t="s">
        <v>320</v>
      </c>
      <c r="G79" s="31" t="s">
        <v>515</v>
      </c>
      <c r="H79" s="31" t="s">
        <v>311</v>
      </c>
      <c r="I79" s="31" t="s">
        <v>421</v>
      </c>
      <c r="J79" s="30" t="s">
        <v>322</v>
      </c>
      <c r="K79" s="31" t="s">
        <v>516</v>
      </c>
      <c r="L79" s="30" t="s">
        <v>324</v>
      </c>
      <c r="M79" s="31" t="s">
        <v>517</v>
      </c>
    </row>
    <row r="80" customFormat="false" ht="15" hidden="false" customHeight="true" outlineLevel="0" collapsed="false">
      <c r="A80" s="30" t="s">
        <v>56</v>
      </c>
      <c r="B80" s="31" t="s">
        <v>366</v>
      </c>
      <c r="C80" s="31" t="s">
        <v>289</v>
      </c>
      <c r="D80" s="7" t="n">
        <v>170000</v>
      </c>
      <c r="E80" s="31" t="s">
        <v>290</v>
      </c>
      <c r="F80" s="30" t="s">
        <v>309</v>
      </c>
      <c r="G80" s="31" t="s">
        <v>518</v>
      </c>
      <c r="H80" s="31" t="s">
        <v>311</v>
      </c>
      <c r="I80" s="31" t="s">
        <v>421</v>
      </c>
      <c r="J80" s="31" t="s">
        <v>311</v>
      </c>
      <c r="K80" s="31" t="s">
        <v>311</v>
      </c>
      <c r="L80" s="31" t="s">
        <v>311</v>
      </c>
      <c r="M80" s="31" t="s">
        <v>311</v>
      </c>
    </row>
    <row r="81" customFormat="false" ht="15" hidden="false" customHeight="true" outlineLevel="0" collapsed="false">
      <c r="A81" s="30" t="s">
        <v>126</v>
      </c>
      <c r="B81" s="31" t="s">
        <v>519</v>
      </c>
      <c r="C81" s="31" t="s">
        <v>289</v>
      </c>
      <c r="D81" s="7" t="n">
        <v>170000</v>
      </c>
      <c r="E81" s="31" t="s">
        <v>290</v>
      </c>
      <c r="F81" s="30" t="s">
        <v>320</v>
      </c>
      <c r="G81" s="31" t="s">
        <v>520</v>
      </c>
      <c r="H81" s="31" t="s">
        <v>311</v>
      </c>
      <c r="I81" s="31" t="s">
        <v>421</v>
      </c>
      <c r="J81" s="30" t="s">
        <v>322</v>
      </c>
      <c r="K81" s="31" t="s">
        <v>521</v>
      </c>
      <c r="L81" s="30" t="s">
        <v>324</v>
      </c>
      <c r="M81" s="31" t="s">
        <v>522</v>
      </c>
    </row>
    <row r="82" customFormat="false" ht="15" hidden="false" customHeight="true" outlineLevel="0" collapsed="false">
      <c r="A82" s="30" t="s">
        <v>111</v>
      </c>
      <c r="B82" s="31" t="s">
        <v>375</v>
      </c>
      <c r="C82" s="31" t="s">
        <v>289</v>
      </c>
      <c r="D82" s="7" t="n">
        <v>170000</v>
      </c>
      <c r="E82" s="31" t="s">
        <v>290</v>
      </c>
      <c r="F82" s="30" t="s">
        <v>309</v>
      </c>
      <c r="G82" s="31" t="s">
        <v>523</v>
      </c>
      <c r="H82" s="31" t="s">
        <v>311</v>
      </c>
      <c r="I82" s="31" t="s">
        <v>421</v>
      </c>
      <c r="J82" s="31" t="s">
        <v>311</v>
      </c>
      <c r="K82" s="31" t="s">
        <v>311</v>
      </c>
      <c r="L82" s="31" t="s">
        <v>311</v>
      </c>
      <c r="M82" s="31" t="s">
        <v>311</v>
      </c>
    </row>
    <row r="83" customFormat="false" ht="15" hidden="false" customHeight="true" outlineLevel="0" collapsed="false">
      <c r="A83" s="30" t="s">
        <v>128</v>
      </c>
      <c r="B83" s="31" t="s">
        <v>524</v>
      </c>
      <c r="C83" s="31" t="s">
        <v>289</v>
      </c>
      <c r="D83" s="7" t="n">
        <v>170000</v>
      </c>
      <c r="E83" s="31" t="s">
        <v>290</v>
      </c>
      <c r="F83" s="30" t="s">
        <v>309</v>
      </c>
      <c r="G83" s="31" t="s">
        <v>525</v>
      </c>
      <c r="H83" s="31" t="s">
        <v>311</v>
      </c>
      <c r="I83" s="31" t="s">
        <v>421</v>
      </c>
      <c r="J83" s="31" t="s">
        <v>311</v>
      </c>
      <c r="K83" s="31" t="s">
        <v>311</v>
      </c>
      <c r="L83" s="31" t="s">
        <v>311</v>
      </c>
      <c r="M83" s="31" t="s">
        <v>311</v>
      </c>
    </row>
    <row r="84" customFormat="false" ht="15" hidden="false" customHeight="true" outlineLevel="0" collapsed="false">
      <c r="A84" s="30" t="s">
        <v>526</v>
      </c>
      <c r="B84" s="31" t="s">
        <v>527</v>
      </c>
      <c r="C84" s="31" t="s">
        <v>289</v>
      </c>
      <c r="D84" s="7" t="n">
        <v>170000</v>
      </c>
      <c r="E84" s="31" t="s">
        <v>290</v>
      </c>
      <c r="F84" s="30" t="s">
        <v>309</v>
      </c>
      <c r="G84" s="31" t="s">
        <v>528</v>
      </c>
      <c r="H84" s="31" t="s">
        <v>311</v>
      </c>
      <c r="I84" s="31" t="s">
        <v>421</v>
      </c>
      <c r="J84" s="31" t="s">
        <v>311</v>
      </c>
      <c r="K84" s="31" t="s">
        <v>311</v>
      </c>
      <c r="L84" s="31" t="s">
        <v>311</v>
      </c>
      <c r="M84" s="31" t="s">
        <v>311</v>
      </c>
    </row>
    <row r="85" customFormat="false" ht="15" hidden="false" customHeight="true" outlineLevel="0" collapsed="false">
      <c r="A85" s="30" t="s">
        <v>288</v>
      </c>
      <c r="B85" s="31" t="s">
        <v>527</v>
      </c>
      <c r="C85" s="31" t="s">
        <v>289</v>
      </c>
      <c r="D85" s="7" t="n">
        <v>180000</v>
      </c>
      <c r="E85" s="31" t="s">
        <v>290</v>
      </c>
      <c r="F85" s="30" t="s">
        <v>49</v>
      </c>
      <c r="G85" s="31" t="s">
        <v>529</v>
      </c>
      <c r="H85" s="31" t="s">
        <v>311</v>
      </c>
      <c r="I85" s="31" t="s">
        <v>290</v>
      </c>
      <c r="J85" s="31" t="s">
        <v>311</v>
      </c>
      <c r="K85" s="31" t="s">
        <v>311</v>
      </c>
      <c r="L85" s="31" t="s">
        <v>311</v>
      </c>
      <c r="M85" s="31" t="s">
        <v>311</v>
      </c>
    </row>
    <row r="86" customFormat="false" ht="15" hidden="false" customHeight="true" outlineLevel="0" collapsed="false">
      <c r="A86" s="30" t="s">
        <v>152</v>
      </c>
      <c r="B86" s="31" t="s">
        <v>530</v>
      </c>
      <c r="C86" s="31" t="s">
        <v>289</v>
      </c>
      <c r="D86" s="7" t="n">
        <v>170000</v>
      </c>
      <c r="E86" s="31" t="s">
        <v>290</v>
      </c>
      <c r="F86" s="30" t="s">
        <v>320</v>
      </c>
      <c r="G86" s="31" t="s">
        <v>531</v>
      </c>
      <c r="H86" s="31" t="s">
        <v>311</v>
      </c>
      <c r="I86" s="31" t="s">
        <v>421</v>
      </c>
      <c r="J86" s="30" t="s">
        <v>322</v>
      </c>
      <c r="K86" s="31" t="s">
        <v>532</v>
      </c>
      <c r="L86" s="30" t="s">
        <v>324</v>
      </c>
      <c r="M86" s="31" t="s">
        <v>533</v>
      </c>
    </row>
    <row r="87" customFormat="false" ht="15" hidden="false" customHeight="true" outlineLevel="0" collapsed="false">
      <c r="A87" s="30" t="s">
        <v>82</v>
      </c>
      <c r="B87" s="31" t="s">
        <v>534</v>
      </c>
      <c r="C87" s="31" t="s">
        <v>289</v>
      </c>
      <c r="D87" s="7" t="n">
        <v>170000</v>
      </c>
      <c r="E87" s="31" t="s">
        <v>290</v>
      </c>
      <c r="F87" s="30" t="s">
        <v>309</v>
      </c>
      <c r="G87" s="31" t="s">
        <v>535</v>
      </c>
      <c r="H87" s="31" t="s">
        <v>311</v>
      </c>
      <c r="I87" s="31" t="s">
        <v>421</v>
      </c>
      <c r="J87" s="31" t="s">
        <v>311</v>
      </c>
      <c r="K87" s="31" t="s">
        <v>311</v>
      </c>
      <c r="L87" s="31" t="s">
        <v>311</v>
      </c>
      <c r="M87" s="31" t="s">
        <v>311</v>
      </c>
    </row>
    <row r="88" customFormat="false" ht="15" hidden="false" customHeight="true" outlineLevel="0" collapsed="false">
      <c r="A88" s="30" t="s">
        <v>114</v>
      </c>
      <c r="B88" s="31" t="s">
        <v>306</v>
      </c>
      <c r="C88" s="31" t="s">
        <v>289</v>
      </c>
      <c r="D88" s="7" t="n">
        <v>160000</v>
      </c>
      <c r="E88" s="31" t="s">
        <v>290</v>
      </c>
      <c r="F88" s="30" t="s">
        <v>309</v>
      </c>
      <c r="G88" s="31" t="s">
        <v>536</v>
      </c>
      <c r="H88" s="31" t="s">
        <v>311</v>
      </c>
      <c r="I88" s="31" t="s">
        <v>421</v>
      </c>
      <c r="J88" s="31" t="s">
        <v>311</v>
      </c>
      <c r="K88" s="31" t="s">
        <v>311</v>
      </c>
      <c r="L88" s="31" t="s">
        <v>311</v>
      </c>
      <c r="M88" s="31" t="s">
        <v>311</v>
      </c>
    </row>
    <row r="89" customFormat="false" ht="15" hidden="false" customHeight="true" outlineLevel="0" collapsed="false">
      <c r="A89" s="30" t="s">
        <v>81</v>
      </c>
      <c r="B89" s="31" t="s">
        <v>537</v>
      </c>
      <c r="C89" s="31" t="s">
        <v>289</v>
      </c>
      <c r="D89" s="7" t="n">
        <v>170000</v>
      </c>
      <c r="E89" s="31" t="s">
        <v>290</v>
      </c>
      <c r="F89" s="30" t="s">
        <v>309</v>
      </c>
      <c r="G89" s="31" t="s">
        <v>538</v>
      </c>
      <c r="H89" s="31" t="s">
        <v>311</v>
      </c>
      <c r="I89" s="31" t="s">
        <v>421</v>
      </c>
      <c r="J89" s="31" t="s">
        <v>311</v>
      </c>
      <c r="K89" s="31" t="s">
        <v>311</v>
      </c>
      <c r="L89" s="31" t="s">
        <v>311</v>
      </c>
      <c r="M89" s="31" t="s">
        <v>311</v>
      </c>
    </row>
    <row r="90" customFormat="false" ht="15" hidden="false" customHeight="true" outlineLevel="0" collapsed="false">
      <c r="A90" s="30" t="s">
        <v>209</v>
      </c>
      <c r="B90" s="31" t="s">
        <v>370</v>
      </c>
      <c r="C90" s="31" t="s">
        <v>289</v>
      </c>
      <c r="D90" s="7" t="n">
        <v>170000</v>
      </c>
      <c r="E90" s="31" t="s">
        <v>290</v>
      </c>
      <c r="F90" s="30" t="s">
        <v>309</v>
      </c>
      <c r="G90" s="31" t="s">
        <v>539</v>
      </c>
      <c r="H90" s="31" t="s">
        <v>311</v>
      </c>
      <c r="I90" s="31" t="s">
        <v>421</v>
      </c>
      <c r="J90" s="31" t="s">
        <v>311</v>
      </c>
      <c r="K90" s="31" t="s">
        <v>311</v>
      </c>
      <c r="L90" s="31" t="s">
        <v>311</v>
      </c>
      <c r="M90" s="31" t="s">
        <v>311</v>
      </c>
    </row>
    <row r="91" customFormat="false" ht="15" hidden="false" customHeight="true" outlineLevel="0" collapsed="false">
      <c r="A91" s="30" t="s">
        <v>209</v>
      </c>
      <c r="B91" s="31" t="s">
        <v>370</v>
      </c>
      <c r="C91" s="31" t="s">
        <v>289</v>
      </c>
      <c r="D91" s="7" t="n">
        <v>172000</v>
      </c>
      <c r="E91" s="31" t="s">
        <v>290</v>
      </c>
      <c r="F91" s="30" t="s">
        <v>49</v>
      </c>
      <c r="G91" s="31" t="s">
        <v>540</v>
      </c>
      <c r="H91" s="31" t="s">
        <v>311</v>
      </c>
      <c r="I91" s="31" t="s">
        <v>290</v>
      </c>
      <c r="J91" s="31" t="s">
        <v>311</v>
      </c>
      <c r="K91" s="31" t="s">
        <v>311</v>
      </c>
      <c r="L91" s="31" t="s">
        <v>311</v>
      </c>
      <c r="M91" s="31" t="s">
        <v>311</v>
      </c>
    </row>
    <row r="92" customFormat="false" ht="15" hidden="false" customHeight="true" outlineLevel="0" collapsed="false">
      <c r="A92" s="30" t="s">
        <v>120</v>
      </c>
      <c r="B92" s="31" t="s">
        <v>450</v>
      </c>
      <c r="C92" s="31" t="s">
        <v>289</v>
      </c>
      <c r="D92" s="7" t="n">
        <v>160000</v>
      </c>
      <c r="E92" s="31" t="s">
        <v>290</v>
      </c>
      <c r="F92" s="30" t="s">
        <v>49</v>
      </c>
      <c r="G92" s="31" t="s">
        <v>541</v>
      </c>
      <c r="H92" s="31" t="s">
        <v>311</v>
      </c>
      <c r="I92" s="31" t="s">
        <v>440</v>
      </c>
      <c r="J92" s="31" t="s">
        <v>311</v>
      </c>
      <c r="K92" s="31" t="s">
        <v>311</v>
      </c>
      <c r="L92" s="31" t="s">
        <v>311</v>
      </c>
      <c r="M92" s="31" t="s">
        <v>311</v>
      </c>
    </row>
    <row r="93" customFormat="false" ht="15" hidden="false" customHeight="true" outlineLevel="0" collapsed="false">
      <c r="A93" s="30" t="s">
        <v>131</v>
      </c>
      <c r="B93" s="31" t="s">
        <v>542</v>
      </c>
      <c r="C93" s="31" t="s">
        <v>289</v>
      </c>
      <c r="D93" s="7" t="n">
        <v>160000</v>
      </c>
      <c r="E93" s="31" t="s">
        <v>290</v>
      </c>
      <c r="F93" s="30" t="s">
        <v>320</v>
      </c>
      <c r="G93" s="31" t="s">
        <v>543</v>
      </c>
      <c r="H93" s="31" t="s">
        <v>311</v>
      </c>
      <c r="I93" s="31" t="s">
        <v>421</v>
      </c>
      <c r="J93" s="30" t="s">
        <v>322</v>
      </c>
      <c r="K93" s="31" t="s">
        <v>544</v>
      </c>
      <c r="L93" s="30" t="s">
        <v>324</v>
      </c>
      <c r="M93" s="31" t="s">
        <v>545</v>
      </c>
    </row>
    <row r="94" customFormat="false" ht="15" hidden="false" customHeight="true" outlineLevel="0" collapsed="false">
      <c r="A94" s="30" t="s">
        <v>128</v>
      </c>
      <c r="B94" s="31" t="s">
        <v>546</v>
      </c>
      <c r="C94" s="31" t="s">
        <v>289</v>
      </c>
      <c r="D94" s="7" t="n">
        <v>170000</v>
      </c>
      <c r="E94" s="31" t="s">
        <v>290</v>
      </c>
      <c r="F94" s="30" t="s">
        <v>320</v>
      </c>
      <c r="G94" s="31" t="s">
        <v>547</v>
      </c>
      <c r="H94" s="31" t="s">
        <v>311</v>
      </c>
      <c r="I94" s="31" t="s">
        <v>421</v>
      </c>
      <c r="J94" s="30" t="s">
        <v>322</v>
      </c>
      <c r="K94" s="31" t="s">
        <v>548</v>
      </c>
      <c r="L94" s="30" t="s">
        <v>549</v>
      </c>
      <c r="M94" s="31" t="n">
        <v>40321726</v>
      </c>
    </row>
    <row r="95" customFormat="false" ht="15" hidden="false" customHeight="true" outlineLevel="0" collapsed="false">
      <c r="A95" s="31" t="s">
        <v>377</v>
      </c>
      <c r="B95" s="31" t="s">
        <v>550</v>
      </c>
      <c r="C95" s="31" t="s">
        <v>289</v>
      </c>
      <c r="D95" s="7" t="n">
        <v>170000</v>
      </c>
      <c r="E95" s="31" t="s">
        <v>290</v>
      </c>
      <c r="F95" s="30" t="s">
        <v>309</v>
      </c>
      <c r="G95" s="31" t="s">
        <v>551</v>
      </c>
      <c r="H95" s="31" t="s">
        <v>311</v>
      </c>
      <c r="I95" s="31" t="s">
        <v>421</v>
      </c>
      <c r="J95" s="31" t="s">
        <v>311</v>
      </c>
      <c r="K95" s="31" t="s">
        <v>311</v>
      </c>
      <c r="L95" s="31" t="s">
        <v>311</v>
      </c>
      <c r="M95" s="31" t="s">
        <v>311</v>
      </c>
    </row>
    <row r="96" customFormat="false" ht="15" hidden="false" customHeight="true" outlineLevel="0" collapsed="false">
      <c r="A96" s="30" t="s">
        <v>69</v>
      </c>
      <c r="B96" s="31" t="s">
        <v>360</v>
      </c>
      <c r="C96" s="31" t="s">
        <v>289</v>
      </c>
      <c r="D96" s="7" t="n">
        <v>170000</v>
      </c>
      <c r="E96" s="31" t="s">
        <v>290</v>
      </c>
      <c r="F96" s="30" t="s">
        <v>49</v>
      </c>
      <c r="G96" s="31" t="s">
        <v>552</v>
      </c>
      <c r="H96" s="31" t="s">
        <v>311</v>
      </c>
      <c r="I96" s="31" t="s">
        <v>440</v>
      </c>
      <c r="J96" s="31" t="s">
        <v>311</v>
      </c>
      <c r="K96" s="31" t="s">
        <v>311</v>
      </c>
      <c r="L96" s="31" t="s">
        <v>311</v>
      </c>
      <c r="M96" s="31" t="s">
        <v>311</v>
      </c>
    </row>
    <row r="97" customFormat="false" ht="15" hidden="false" customHeight="true" outlineLevel="0" collapsed="false">
      <c r="A97" s="30" t="s">
        <v>148</v>
      </c>
      <c r="B97" s="31" t="s">
        <v>553</v>
      </c>
      <c r="C97" s="31" t="s">
        <v>289</v>
      </c>
      <c r="D97" s="7" t="n">
        <v>170000</v>
      </c>
      <c r="E97" s="31" t="s">
        <v>290</v>
      </c>
      <c r="F97" s="30" t="s">
        <v>320</v>
      </c>
      <c r="G97" s="31" t="s">
        <v>554</v>
      </c>
      <c r="H97" s="31" t="s">
        <v>311</v>
      </c>
      <c r="I97" s="31" t="s">
        <v>421</v>
      </c>
      <c r="J97" s="30" t="s">
        <v>322</v>
      </c>
      <c r="K97" s="31" t="s">
        <v>555</v>
      </c>
      <c r="L97" s="30" t="s">
        <v>549</v>
      </c>
      <c r="M97" s="31" t="n">
        <v>40656280</v>
      </c>
    </row>
    <row r="98" customFormat="false" ht="15" hidden="false" customHeight="true" outlineLevel="0" collapsed="false">
      <c r="A98" s="30" t="s">
        <v>105</v>
      </c>
      <c r="B98" s="31" t="s">
        <v>364</v>
      </c>
      <c r="C98" s="31" t="s">
        <v>289</v>
      </c>
      <c r="D98" s="7" t="n">
        <v>170000</v>
      </c>
      <c r="E98" s="31" t="s">
        <v>290</v>
      </c>
      <c r="F98" s="30" t="s">
        <v>309</v>
      </c>
      <c r="G98" s="31" t="s">
        <v>556</v>
      </c>
      <c r="H98" s="31" t="s">
        <v>311</v>
      </c>
      <c r="I98" s="31" t="s">
        <v>421</v>
      </c>
      <c r="J98" s="31" t="s">
        <v>311</v>
      </c>
      <c r="K98" s="31" t="s">
        <v>311</v>
      </c>
      <c r="L98" s="31" t="s">
        <v>311</v>
      </c>
      <c r="M98" s="31" t="s">
        <v>311</v>
      </c>
    </row>
    <row r="99" customFormat="false" ht="15" hidden="false" customHeight="true" outlineLevel="0" collapsed="false">
      <c r="A99" s="30" t="s">
        <v>109</v>
      </c>
      <c r="B99" s="31" t="s">
        <v>358</v>
      </c>
      <c r="C99" s="31" t="s">
        <v>289</v>
      </c>
      <c r="D99" s="7" t="n">
        <v>170000</v>
      </c>
      <c r="E99" s="31" t="s">
        <v>290</v>
      </c>
      <c r="F99" s="30" t="s">
        <v>309</v>
      </c>
      <c r="G99" s="31" t="s">
        <v>557</v>
      </c>
      <c r="H99" s="31" t="s">
        <v>311</v>
      </c>
      <c r="I99" s="31" t="s">
        <v>421</v>
      </c>
      <c r="J99" s="31" t="s">
        <v>311</v>
      </c>
      <c r="K99" s="31" t="s">
        <v>311</v>
      </c>
      <c r="L99" s="31" t="s">
        <v>311</v>
      </c>
      <c r="M99" s="31" t="s">
        <v>311</v>
      </c>
    </row>
    <row r="100" customFormat="false" ht="15" hidden="false" customHeight="true" outlineLevel="0" collapsed="false">
      <c r="A100" s="30" t="s">
        <v>83</v>
      </c>
      <c r="B100" s="31" t="s">
        <v>362</v>
      </c>
      <c r="C100" s="31" t="s">
        <v>289</v>
      </c>
      <c r="D100" s="7" t="n">
        <v>170000</v>
      </c>
      <c r="E100" s="31" t="s">
        <v>290</v>
      </c>
      <c r="F100" s="30" t="s">
        <v>309</v>
      </c>
      <c r="G100" s="31" t="s">
        <v>558</v>
      </c>
      <c r="H100" s="31" t="s">
        <v>311</v>
      </c>
      <c r="I100" s="31" t="s">
        <v>421</v>
      </c>
      <c r="J100" s="31" t="s">
        <v>311</v>
      </c>
      <c r="K100" s="31" t="s">
        <v>311</v>
      </c>
      <c r="L100" s="31" t="s">
        <v>311</v>
      </c>
      <c r="M100" s="31" t="s">
        <v>311</v>
      </c>
    </row>
    <row r="101" customFormat="false" ht="15" hidden="false" customHeight="true" outlineLevel="0" collapsed="false">
      <c r="A101" s="30" t="s">
        <v>135</v>
      </c>
      <c r="B101" s="31" t="s">
        <v>559</v>
      </c>
      <c r="C101" s="31" t="s">
        <v>289</v>
      </c>
      <c r="D101" s="7" t="n">
        <v>170000</v>
      </c>
      <c r="E101" s="31" t="s">
        <v>290</v>
      </c>
      <c r="F101" s="30" t="s">
        <v>320</v>
      </c>
      <c r="G101" s="31" t="s">
        <v>560</v>
      </c>
      <c r="H101" s="31" t="s">
        <v>311</v>
      </c>
      <c r="I101" s="31" t="s">
        <v>421</v>
      </c>
      <c r="J101" s="30" t="s">
        <v>322</v>
      </c>
      <c r="K101" s="31" t="s">
        <v>561</v>
      </c>
      <c r="L101" s="30" t="s">
        <v>331</v>
      </c>
      <c r="M101" s="31" t="n">
        <v>25190047</v>
      </c>
    </row>
    <row r="102" customFormat="false" ht="15" hidden="false" customHeight="true" outlineLevel="0" collapsed="false">
      <c r="A102" s="31" t="s">
        <v>275</v>
      </c>
      <c r="B102" s="31" t="s">
        <v>378</v>
      </c>
      <c r="C102" s="31" t="s">
        <v>289</v>
      </c>
      <c r="D102" s="7" t="n">
        <v>201700</v>
      </c>
      <c r="E102" s="31" t="s">
        <v>290</v>
      </c>
      <c r="F102" s="30" t="s">
        <v>309</v>
      </c>
      <c r="G102" s="31" t="s">
        <v>562</v>
      </c>
      <c r="H102" s="31" t="s">
        <v>311</v>
      </c>
      <c r="I102" s="31" t="s">
        <v>421</v>
      </c>
      <c r="J102" s="31" t="s">
        <v>311</v>
      </c>
      <c r="K102" s="31" t="s">
        <v>311</v>
      </c>
      <c r="L102" s="31" t="s">
        <v>311</v>
      </c>
      <c r="M102" s="31" t="s">
        <v>311</v>
      </c>
    </row>
    <row r="103" customFormat="false" ht="15" hidden="false" customHeight="true" outlineLevel="0" collapsed="false">
      <c r="A103" s="30" t="s">
        <v>75</v>
      </c>
      <c r="B103" s="31" t="s">
        <v>563</v>
      </c>
      <c r="C103" s="31" t="s">
        <v>289</v>
      </c>
      <c r="D103" s="7" t="n">
        <v>201700</v>
      </c>
      <c r="E103" s="31" t="s">
        <v>290</v>
      </c>
      <c r="F103" s="30" t="s">
        <v>309</v>
      </c>
      <c r="G103" s="31" t="s">
        <v>564</v>
      </c>
      <c r="H103" s="31" t="s">
        <v>311</v>
      </c>
      <c r="I103" s="31" t="s">
        <v>421</v>
      </c>
      <c r="J103" s="31" t="s">
        <v>311</v>
      </c>
      <c r="K103" s="31" t="s">
        <v>311</v>
      </c>
      <c r="L103" s="31" t="s">
        <v>311</v>
      </c>
      <c r="M103" s="31" t="s">
        <v>311</v>
      </c>
    </row>
    <row r="104" customFormat="false" ht="15" hidden="false" customHeight="true" outlineLevel="0" collapsed="false">
      <c r="A104" s="30" t="s">
        <v>87</v>
      </c>
      <c r="B104" s="31" t="s">
        <v>565</v>
      </c>
      <c r="C104" s="31" t="s">
        <v>289</v>
      </c>
      <c r="D104" s="7" t="n">
        <v>211700</v>
      </c>
      <c r="E104" s="31" t="s">
        <v>290</v>
      </c>
      <c r="F104" s="30" t="s">
        <v>320</v>
      </c>
      <c r="G104" s="31" t="s">
        <v>566</v>
      </c>
      <c r="H104" s="31" t="s">
        <v>311</v>
      </c>
      <c r="I104" s="31" t="s">
        <v>421</v>
      </c>
      <c r="J104" s="30" t="s">
        <v>322</v>
      </c>
      <c r="K104" s="31" t="s">
        <v>567</v>
      </c>
      <c r="L104" s="30" t="s">
        <v>392</v>
      </c>
      <c r="M104" s="31" t="n">
        <v>22747093</v>
      </c>
    </row>
    <row r="105" customFormat="false" ht="15" hidden="false" customHeight="true" outlineLevel="0" collapsed="false">
      <c r="A105" s="30" t="s">
        <v>62</v>
      </c>
      <c r="B105" s="31" t="s">
        <v>387</v>
      </c>
      <c r="C105" s="31" t="s">
        <v>289</v>
      </c>
      <c r="D105" s="7" t="n">
        <v>211700</v>
      </c>
      <c r="E105" s="31" t="s">
        <v>290</v>
      </c>
      <c r="F105" s="30" t="s">
        <v>309</v>
      </c>
      <c r="G105" s="31" t="s">
        <v>568</v>
      </c>
      <c r="H105" s="31" t="s">
        <v>311</v>
      </c>
      <c r="I105" s="31" t="s">
        <v>421</v>
      </c>
      <c r="J105" s="31" t="s">
        <v>311</v>
      </c>
      <c r="K105" s="31" t="s">
        <v>311</v>
      </c>
      <c r="L105" s="31" t="s">
        <v>311</v>
      </c>
      <c r="M105" s="31" t="s">
        <v>311</v>
      </c>
    </row>
    <row r="106" customFormat="false" ht="15" hidden="false" customHeight="true" outlineLevel="0" collapsed="false">
      <c r="A106" s="30" t="s">
        <v>62</v>
      </c>
      <c r="B106" s="31" t="s">
        <v>387</v>
      </c>
      <c r="C106" s="31" t="s">
        <v>289</v>
      </c>
      <c r="D106" s="7" t="n">
        <v>201700</v>
      </c>
      <c r="E106" s="31" t="s">
        <v>290</v>
      </c>
      <c r="F106" s="30" t="s">
        <v>49</v>
      </c>
      <c r="G106" s="31" t="s">
        <v>569</v>
      </c>
      <c r="H106" s="31" t="s">
        <v>311</v>
      </c>
      <c r="I106" s="31" t="s">
        <v>290</v>
      </c>
      <c r="J106" s="31" t="s">
        <v>311</v>
      </c>
      <c r="K106" s="31" t="s">
        <v>311</v>
      </c>
      <c r="L106" s="31" t="s">
        <v>311</v>
      </c>
      <c r="M106" s="31" t="s">
        <v>311</v>
      </c>
    </row>
    <row r="107" customFormat="false" ht="15" hidden="false" customHeight="true" outlineLevel="0" collapsed="false">
      <c r="A107" s="30" t="s">
        <v>76</v>
      </c>
      <c r="B107" s="31" t="s">
        <v>570</v>
      </c>
      <c r="C107" s="31" t="s">
        <v>289</v>
      </c>
      <c r="D107" s="7" t="n">
        <v>201700</v>
      </c>
      <c r="E107" s="31" t="s">
        <v>290</v>
      </c>
      <c r="F107" s="30" t="s">
        <v>309</v>
      </c>
      <c r="G107" s="31" t="s">
        <v>571</v>
      </c>
      <c r="H107" s="31" t="s">
        <v>311</v>
      </c>
      <c r="I107" s="31" t="s">
        <v>421</v>
      </c>
      <c r="J107" s="31" t="s">
        <v>311</v>
      </c>
      <c r="K107" s="31" t="s">
        <v>311</v>
      </c>
      <c r="L107" s="31" t="s">
        <v>311</v>
      </c>
      <c r="M107" s="31" t="s">
        <v>311</v>
      </c>
    </row>
    <row r="108" customFormat="false" ht="15" hidden="false" customHeight="true" outlineLevel="0" collapsed="false">
      <c r="A108" s="30" t="s">
        <v>210</v>
      </c>
      <c r="B108" s="31" t="s">
        <v>384</v>
      </c>
      <c r="C108" s="31" t="s">
        <v>289</v>
      </c>
      <c r="D108" s="7" t="n">
        <v>201700</v>
      </c>
      <c r="E108" s="31" t="s">
        <v>290</v>
      </c>
      <c r="F108" s="30" t="s">
        <v>309</v>
      </c>
      <c r="G108" s="31" t="s">
        <v>572</v>
      </c>
      <c r="H108" s="31" t="s">
        <v>311</v>
      </c>
      <c r="I108" s="31" t="s">
        <v>421</v>
      </c>
      <c r="J108" s="31" t="s">
        <v>311</v>
      </c>
      <c r="K108" s="31" t="s">
        <v>311</v>
      </c>
      <c r="L108" s="31" t="s">
        <v>311</v>
      </c>
      <c r="M108" s="31" t="s">
        <v>311</v>
      </c>
    </row>
    <row r="109" customFormat="false" ht="15" hidden="false" customHeight="true" outlineLevel="0" collapsed="false">
      <c r="A109" s="30" t="s">
        <v>119</v>
      </c>
      <c r="B109" s="31" t="s">
        <v>499</v>
      </c>
      <c r="C109" s="31" t="s">
        <v>289</v>
      </c>
      <c r="D109" s="7" t="n">
        <v>211700</v>
      </c>
      <c r="E109" s="31" t="s">
        <v>290</v>
      </c>
      <c r="F109" s="30" t="s">
        <v>320</v>
      </c>
      <c r="G109" s="31" t="s">
        <v>573</v>
      </c>
      <c r="H109" s="31" t="s">
        <v>311</v>
      </c>
      <c r="I109" s="31" t="s">
        <v>421</v>
      </c>
      <c r="J109" s="30" t="s">
        <v>322</v>
      </c>
      <c r="K109" s="31" t="s">
        <v>574</v>
      </c>
      <c r="L109" s="30" t="s">
        <v>324</v>
      </c>
      <c r="M109" s="31" t="s">
        <v>575</v>
      </c>
    </row>
    <row r="110" customFormat="false" ht="15" hidden="false" customHeight="true" outlineLevel="0" collapsed="false">
      <c r="A110" s="30" t="s">
        <v>132</v>
      </c>
      <c r="B110" s="31" t="s">
        <v>576</v>
      </c>
      <c r="C110" s="31" t="s">
        <v>289</v>
      </c>
      <c r="D110" s="7" t="n">
        <v>211700</v>
      </c>
      <c r="E110" s="31" t="s">
        <v>290</v>
      </c>
      <c r="F110" s="30" t="s">
        <v>309</v>
      </c>
      <c r="G110" s="31" t="s">
        <v>577</v>
      </c>
      <c r="H110" s="31" t="s">
        <v>311</v>
      </c>
      <c r="I110" s="31" t="s">
        <v>421</v>
      </c>
      <c r="J110" s="31" t="s">
        <v>311</v>
      </c>
      <c r="K110" s="31" t="s">
        <v>311</v>
      </c>
      <c r="L110" s="31" t="s">
        <v>311</v>
      </c>
      <c r="M110" s="31" t="s">
        <v>311</v>
      </c>
    </row>
    <row r="111" customFormat="false" ht="15" hidden="false" customHeight="true" outlineLevel="0" collapsed="false">
      <c r="A111" s="30" t="s">
        <v>66</v>
      </c>
      <c r="B111" s="31" t="s">
        <v>578</v>
      </c>
      <c r="C111" s="31" t="s">
        <v>289</v>
      </c>
      <c r="D111" s="7" t="n">
        <v>211700</v>
      </c>
      <c r="E111" s="31" t="s">
        <v>290</v>
      </c>
      <c r="F111" s="30" t="s">
        <v>309</v>
      </c>
      <c r="G111" s="31" t="s">
        <v>579</v>
      </c>
      <c r="H111" s="31" t="s">
        <v>311</v>
      </c>
      <c r="I111" s="31" t="s">
        <v>421</v>
      </c>
      <c r="J111" s="31" t="s">
        <v>311</v>
      </c>
      <c r="K111" s="31" t="s">
        <v>311</v>
      </c>
      <c r="L111" s="31" t="s">
        <v>311</v>
      </c>
      <c r="M111" s="31" t="s">
        <v>311</v>
      </c>
    </row>
    <row r="112" customFormat="false" ht="15" hidden="false" customHeight="true" outlineLevel="0" collapsed="false">
      <c r="A112" s="30" t="s">
        <v>91</v>
      </c>
      <c r="B112" s="31" t="s">
        <v>389</v>
      </c>
      <c r="C112" s="31" t="s">
        <v>289</v>
      </c>
      <c r="D112" s="7" t="n">
        <v>201700</v>
      </c>
      <c r="E112" s="31" t="s">
        <v>290</v>
      </c>
      <c r="F112" s="30" t="s">
        <v>49</v>
      </c>
      <c r="G112" s="31" t="s">
        <v>580</v>
      </c>
      <c r="H112" s="31" t="s">
        <v>311</v>
      </c>
      <c r="I112" s="31" t="s">
        <v>429</v>
      </c>
      <c r="J112" s="31" t="s">
        <v>311</v>
      </c>
      <c r="K112" s="31" t="s">
        <v>311</v>
      </c>
      <c r="L112" s="31" t="s">
        <v>311</v>
      </c>
      <c r="M112" s="31" t="s">
        <v>311</v>
      </c>
    </row>
    <row r="113" customFormat="false" ht="15" hidden="false" customHeight="true" outlineLevel="0" collapsed="false">
      <c r="A113" s="30" t="s">
        <v>158</v>
      </c>
      <c r="B113" s="31" t="s">
        <v>389</v>
      </c>
      <c r="C113" s="31" t="s">
        <v>289</v>
      </c>
      <c r="D113" s="7" t="n">
        <v>183000</v>
      </c>
      <c r="E113" s="31" t="s">
        <v>290</v>
      </c>
      <c r="F113" s="30" t="s">
        <v>320</v>
      </c>
      <c r="G113" s="31" t="s">
        <v>581</v>
      </c>
      <c r="H113" s="31" t="s">
        <v>311</v>
      </c>
      <c r="I113" s="31" t="s">
        <v>421</v>
      </c>
      <c r="J113" s="30" t="s">
        <v>322</v>
      </c>
      <c r="K113" s="31" t="s">
        <v>582</v>
      </c>
      <c r="L113" s="30" t="s">
        <v>392</v>
      </c>
      <c r="M113" s="31" t="n">
        <v>31989091</v>
      </c>
    </row>
    <row r="114" customFormat="false" ht="15" hidden="false" customHeight="true" outlineLevel="0" collapsed="false">
      <c r="A114" s="30" t="s">
        <v>112</v>
      </c>
      <c r="B114" s="31" t="s">
        <v>583</v>
      </c>
      <c r="C114" s="31" t="s">
        <v>289</v>
      </c>
      <c r="D114" s="7" t="n">
        <v>170000</v>
      </c>
      <c r="E114" s="31" t="s">
        <v>290</v>
      </c>
      <c r="F114" s="30" t="s">
        <v>309</v>
      </c>
      <c r="G114" s="31" t="s">
        <v>584</v>
      </c>
      <c r="H114" s="31" t="s">
        <v>311</v>
      </c>
      <c r="I114" s="31" t="s">
        <v>421</v>
      </c>
      <c r="J114" s="31" t="s">
        <v>311</v>
      </c>
      <c r="K114" s="31" t="s">
        <v>311</v>
      </c>
      <c r="L114" s="31" t="s">
        <v>311</v>
      </c>
      <c r="M114" s="31" t="s">
        <v>311</v>
      </c>
    </row>
    <row r="115" customFormat="false" ht="15" hidden="false" customHeight="true" outlineLevel="0" collapsed="false">
      <c r="A115" s="30" t="s">
        <v>57</v>
      </c>
      <c r="B115" s="31" t="s">
        <v>585</v>
      </c>
      <c r="C115" s="31" t="s">
        <v>289</v>
      </c>
      <c r="D115" s="7" t="n">
        <v>201700</v>
      </c>
      <c r="E115" s="31" t="s">
        <v>290</v>
      </c>
      <c r="F115" s="30" t="s">
        <v>309</v>
      </c>
      <c r="G115" s="31" t="s">
        <v>586</v>
      </c>
      <c r="H115" s="31" t="s">
        <v>311</v>
      </c>
      <c r="I115" s="31" t="s">
        <v>421</v>
      </c>
      <c r="J115" s="31" t="s">
        <v>311</v>
      </c>
      <c r="K115" s="31" t="s">
        <v>311</v>
      </c>
      <c r="L115" s="31" t="s">
        <v>311</v>
      </c>
      <c r="M115" s="31" t="s">
        <v>311</v>
      </c>
    </row>
    <row r="116" customFormat="false" ht="15" hidden="false" customHeight="true" outlineLevel="0" collapsed="false">
      <c r="A116" s="30" t="s">
        <v>156</v>
      </c>
      <c r="B116" s="31" t="s">
        <v>587</v>
      </c>
      <c r="C116" s="31" t="s">
        <v>289</v>
      </c>
      <c r="D116" s="7" t="n">
        <v>211700</v>
      </c>
      <c r="E116" s="31" t="s">
        <v>290</v>
      </c>
      <c r="F116" s="30" t="s">
        <v>320</v>
      </c>
      <c r="G116" s="31" t="s">
        <v>588</v>
      </c>
      <c r="H116" s="31" t="s">
        <v>311</v>
      </c>
      <c r="I116" s="31" t="s">
        <v>421</v>
      </c>
      <c r="J116" s="30" t="s">
        <v>322</v>
      </c>
      <c r="K116" s="31" t="s">
        <v>589</v>
      </c>
      <c r="L116" s="30" t="s">
        <v>383</v>
      </c>
      <c r="M116" s="31" t="n">
        <v>74440974</v>
      </c>
    </row>
    <row r="117" customFormat="false" ht="15" hidden="false" customHeight="true" outlineLevel="0" collapsed="false">
      <c r="A117" s="30" t="s">
        <v>107</v>
      </c>
      <c r="B117" s="31" t="s">
        <v>399</v>
      </c>
      <c r="C117" s="31" t="s">
        <v>289</v>
      </c>
      <c r="D117" s="7" t="n">
        <v>178000</v>
      </c>
      <c r="E117" s="31" t="s">
        <v>290</v>
      </c>
      <c r="F117" s="30" t="s">
        <v>309</v>
      </c>
      <c r="G117" s="31" t="s">
        <v>590</v>
      </c>
      <c r="H117" s="31" t="s">
        <v>311</v>
      </c>
      <c r="I117" s="31" t="s">
        <v>421</v>
      </c>
      <c r="J117" s="31" t="s">
        <v>311</v>
      </c>
      <c r="K117" s="31" t="s">
        <v>311</v>
      </c>
      <c r="L117" s="31" t="s">
        <v>311</v>
      </c>
      <c r="M117" s="31" t="s">
        <v>311</v>
      </c>
    </row>
    <row r="118" customFormat="false" ht="15" hidden="false" customHeight="true" outlineLevel="0" collapsed="false">
      <c r="A118" s="30" t="s">
        <v>143</v>
      </c>
      <c r="B118" s="31" t="s">
        <v>591</v>
      </c>
      <c r="C118" s="31" t="s">
        <v>289</v>
      </c>
      <c r="D118" s="7" t="n">
        <v>178000</v>
      </c>
      <c r="E118" s="31" t="s">
        <v>290</v>
      </c>
      <c r="F118" s="30" t="s">
        <v>320</v>
      </c>
      <c r="G118" s="31" t="s">
        <v>592</v>
      </c>
      <c r="H118" s="31" t="s">
        <v>311</v>
      </c>
      <c r="I118" s="31" t="s">
        <v>421</v>
      </c>
      <c r="J118" s="30" t="s">
        <v>322</v>
      </c>
      <c r="K118" s="31" t="s">
        <v>593</v>
      </c>
      <c r="L118" s="30" t="s">
        <v>324</v>
      </c>
      <c r="M118" s="31" t="s">
        <v>594</v>
      </c>
    </row>
    <row r="119" customFormat="false" ht="15" hidden="false" customHeight="true" outlineLevel="0" collapsed="false">
      <c r="A119" s="30" t="s">
        <v>84</v>
      </c>
      <c r="B119" s="31" t="s">
        <v>595</v>
      </c>
      <c r="C119" s="31" t="s">
        <v>289</v>
      </c>
      <c r="D119" s="7" t="n">
        <v>201700</v>
      </c>
      <c r="E119" s="31" t="s">
        <v>290</v>
      </c>
      <c r="F119" s="30" t="s">
        <v>309</v>
      </c>
      <c r="G119" s="31" t="s">
        <v>596</v>
      </c>
      <c r="H119" s="31" t="s">
        <v>311</v>
      </c>
      <c r="I119" s="31" t="s">
        <v>421</v>
      </c>
      <c r="J119" s="31" t="s">
        <v>311</v>
      </c>
      <c r="K119" s="31" t="s">
        <v>311</v>
      </c>
      <c r="L119" s="31" t="s">
        <v>311</v>
      </c>
      <c r="M119" s="31" t="s">
        <v>311</v>
      </c>
    </row>
    <row r="120" customFormat="false" ht="15" hidden="false" customHeight="true" outlineLevel="0" collapsed="false">
      <c r="A120" s="30" t="s">
        <v>121</v>
      </c>
      <c r="B120" s="31" t="s">
        <v>530</v>
      </c>
      <c r="C120" s="31" t="s">
        <v>289</v>
      </c>
      <c r="D120" s="7" t="n">
        <v>160000</v>
      </c>
      <c r="E120" s="31" t="s">
        <v>290</v>
      </c>
      <c r="F120" s="30" t="s">
        <v>320</v>
      </c>
      <c r="G120" s="31" t="s">
        <v>597</v>
      </c>
      <c r="H120" s="31" t="s">
        <v>311</v>
      </c>
      <c r="I120" s="31" t="s">
        <v>421</v>
      </c>
      <c r="J120" s="30" t="s">
        <v>322</v>
      </c>
      <c r="K120" s="31" t="s">
        <v>598</v>
      </c>
      <c r="L120" s="30" t="s">
        <v>324</v>
      </c>
      <c r="M120" s="31" t="s">
        <v>599</v>
      </c>
    </row>
    <row r="121" customFormat="false" ht="15" hidden="false" customHeight="true" outlineLevel="0" collapsed="false">
      <c r="A121" s="30" t="s">
        <v>139</v>
      </c>
      <c r="B121" s="31" t="s">
        <v>393</v>
      </c>
      <c r="C121" s="31" t="s">
        <v>289</v>
      </c>
      <c r="D121" s="7" t="n">
        <v>211700</v>
      </c>
      <c r="E121" s="31" t="s">
        <v>290</v>
      </c>
      <c r="F121" s="30" t="s">
        <v>320</v>
      </c>
      <c r="G121" s="31" t="s">
        <v>600</v>
      </c>
      <c r="H121" s="31" t="s">
        <v>311</v>
      </c>
      <c r="I121" s="31" t="s">
        <v>421</v>
      </c>
      <c r="J121" s="30" t="s">
        <v>322</v>
      </c>
      <c r="K121" s="31" t="s">
        <v>601</v>
      </c>
      <c r="L121" s="30" t="s">
        <v>392</v>
      </c>
      <c r="M121" s="31" t="n">
        <v>61888771</v>
      </c>
    </row>
    <row r="122" customFormat="false" ht="15" hidden="false" customHeight="true" outlineLevel="0" collapsed="false">
      <c r="A122" s="30" t="s">
        <v>118</v>
      </c>
      <c r="B122" s="31" t="s">
        <v>602</v>
      </c>
      <c r="C122" s="31" t="s">
        <v>289</v>
      </c>
      <c r="D122" s="7" t="n">
        <v>183700</v>
      </c>
      <c r="E122" s="31" t="s">
        <v>290</v>
      </c>
      <c r="F122" s="30" t="s">
        <v>320</v>
      </c>
      <c r="G122" s="31" t="s">
        <v>603</v>
      </c>
      <c r="H122" s="31" t="s">
        <v>311</v>
      </c>
      <c r="I122" s="31" t="s">
        <v>421</v>
      </c>
      <c r="J122" s="30" t="s">
        <v>322</v>
      </c>
      <c r="K122" s="31" t="s">
        <v>604</v>
      </c>
      <c r="L122" s="30" t="s">
        <v>355</v>
      </c>
      <c r="M122" s="31" t="n">
        <v>64511481</v>
      </c>
    </row>
    <row r="123" customFormat="false" ht="15" hidden="false" customHeight="true" outlineLevel="0" collapsed="false">
      <c r="A123" s="30" t="s">
        <v>129</v>
      </c>
      <c r="B123" s="31" t="s">
        <v>605</v>
      </c>
      <c r="C123" s="31" t="s">
        <v>289</v>
      </c>
      <c r="D123" s="7" t="n">
        <v>201700</v>
      </c>
      <c r="E123" s="31" t="s">
        <v>290</v>
      </c>
      <c r="F123" s="30" t="s">
        <v>320</v>
      </c>
      <c r="G123" s="31" t="s">
        <v>606</v>
      </c>
      <c r="H123" s="31" t="s">
        <v>311</v>
      </c>
      <c r="I123" s="31" t="s">
        <v>421</v>
      </c>
      <c r="J123" s="30" t="s">
        <v>322</v>
      </c>
      <c r="K123" s="31" t="s">
        <v>607</v>
      </c>
      <c r="L123" s="30" t="s">
        <v>468</v>
      </c>
      <c r="M123" s="31" t="n">
        <v>30018359</v>
      </c>
    </row>
    <row r="124" customFormat="false" ht="15" hidden="false" customHeight="true" outlineLevel="0" collapsed="false">
      <c r="A124" s="30" t="s">
        <v>97</v>
      </c>
      <c r="B124" s="31" t="s">
        <v>605</v>
      </c>
      <c r="C124" s="31" t="s">
        <v>289</v>
      </c>
      <c r="D124" s="7" t="n">
        <v>201700</v>
      </c>
      <c r="E124" s="31" t="s">
        <v>290</v>
      </c>
      <c r="F124" s="30" t="s">
        <v>309</v>
      </c>
      <c r="G124" s="31" t="s">
        <v>608</v>
      </c>
      <c r="H124" s="31" t="s">
        <v>311</v>
      </c>
      <c r="I124" s="31" t="s">
        <v>421</v>
      </c>
      <c r="J124" s="31" t="s">
        <v>311</v>
      </c>
      <c r="K124" s="31" t="s">
        <v>311</v>
      </c>
      <c r="L124" s="31" t="s">
        <v>311</v>
      </c>
      <c r="M124" s="31" t="s">
        <v>311</v>
      </c>
    </row>
    <row r="125" customFormat="false" ht="15" hidden="false" customHeight="true" outlineLevel="0" collapsed="false">
      <c r="A125" s="30" t="s">
        <v>150</v>
      </c>
      <c r="B125" s="31" t="s">
        <v>609</v>
      </c>
      <c r="C125" s="31" t="s">
        <v>289</v>
      </c>
      <c r="D125" s="7" t="n">
        <v>183700</v>
      </c>
      <c r="E125" s="31" t="s">
        <v>290</v>
      </c>
      <c r="F125" s="30" t="s">
        <v>49</v>
      </c>
      <c r="G125" s="31" t="s">
        <v>610</v>
      </c>
      <c r="H125" s="31" t="s">
        <v>311</v>
      </c>
      <c r="I125" s="31" t="s">
        <v>440</v>
      </c>
      <c r="J125" s="31" t="s">
        <v>311</v>
      </c>
      <c r="K125" s="31" t="s">
        <v>311</v>
      </c>
      <c r="L125" s="31" t="s">
        <v>311</v>
      </c>
      <c r="M125" s="31" t="s">
        <v>311</v>
      </c>
    </row>
    <row r="126" customFormat="false" ht="15" hidden="false" customHeight="true" outlineLevel="0" collapsed="false">
      <c r="A126" s="30" t="s">
        <v>150</v>
      </c>
      <c r="B126" s="31" t="s">
        <v>609</v>
      </c>
      <c r="C126" s="31" t="s">
        <v>289</v>
      </c>
      <c r="D126" s="31"/>
      <c r="E126" s="31" t="s">
        <v>290</v>
      </c>
      <c r="F126" s="30" t="s">
        <v>49</v>
      </c>
      <c r="G126" s="31" t="s">
        <v>611</v>
      </c>
      <c r="H126" s="31" t="s">
        <v>311</v>
      </c>
      <c r="I126" s="31" t="s">
        <v>290</v>
      </c>
      <c r="J126" s="31" t="s">
        <v>311</v>
      </c>
      <c r="K126" s="31" t="s">
        <v>311</v>
      </c>
      <c r="L126" s="31" t="s">
        <v>311</v>
      </c>
      <c r="M126" s="31" t="s">
        <v>311</v>
      </c>
    </row>
    <row r="127" customFormat="false" ht="15" hidden="false" customHeight="true" outlineLevel="0" collapsed="false">
      <c r="A127" s="30" t="s">
        <v>116</v>
      </c>
      <c r="B127" s="31" t="s">
        <v>477</v>
      </c>
      <c r="C127" s="31" t="s">
        <v>289</v>
      </c>
      <c r="D127" s="7" t="n">
        <v>170000</v>
      </c>
      <c r="E127" s="31" t="s">
        <v>290</v>
      </c>
      <c r="F127" s="30" t="s">
        <v>320</v>
      </c>
      <c r="G127" s="31" t="s">
        <v>612</v>
      </c>
      <c r="H127" s="31" t="s">
        <v>311</v>
      </c>
      <c r="I127" s="31" t="s">
        <v>421</v>
      </c>
      <c r="J127" s="30" t="s">
        <v>322</v>
      </c>
      <c r="K127" s="31" t="s">
        <v>613</v>
      </c>
      <c r="L127" s="30" t="s">
        <v>383</v>
      </c>
      <c r="M127" s="31" t="n">
        <v>74148133</v>
      </c>
    </row>
    <row r="128" customFormat="false" ht="15" hidden="false" customHeight="true" outlineLevel="0" collapsed="false">
      <c r="A128" s="30" t="s">
        <v>216</v>
      </c>
      <c r="B128" s="31" t="s">
        <v>614</v>
      </c>
      <c r="C128" s="31" t="s">
        <v>292</v>
      </c>
      <c r="D128" s="7" t="n">
        <v>8000</v>
      </c>
      <c r="E128" s="31" t="s">
        <v>290</v>
      </c>
      <c r="F128" s="30" t="s">
        <v>320</v>
      </c>
      <c r="G128" s="31" t="s">
        <v>615</v>
      </c>
      <c r="H128" s="31" t="s">
        <v>311</v>
      </c>
      <c r="I128" s="31" t="s">
        <v>421</v>
      </c>
      <c r="J128" s="30" t="s">
        <v>322</v>
      </c>
      <c r="K128" s="31" t="s">
        <v>616</v>
      </c>
      <c r="L128" s="30" t="s">
        <v>355</v>
      </c>
      <c r="M128" s="31" t="n">
        <v>53843423</v>
      </c>
    </row>
    <row r="129" customFormat="false" ht="15" hidden="false" customHeight="true" outlineLevel="0" collapsed="false">
      <c r="A129" s="30" t="s">
        <v>215</v>
      </c>
      <c r="B129" s="31" t="s">
        <v>439</v>
      </c>
      <c r="C129" s="31" t="s">
        <v>292</v>
      </c>
      <c r="D129" s="7" t="n">
        <v>16000</v>
      </c>
      <c r="E129" s="31" t="s">
        <v>290</v>
      </c>
      <c r="F129" s="30" t="s">
        <v>49</v>
      </c>
      <c r="G129" s="31" t="s">
        <v>617</v>
      </c>
      <c r="H129" s="31" t="s">
        <v>311</v>
      </c>
      <c r="I129" s="31" t="s">
        <v>440</v>
      </c>
      <c r="J129" s="31" t="s">
        <v>311</v>
      </c>
      <c r="K129" s="31" t="s">
        <v>311</v>
      </c>
      <c r="L129" s="31" t="s">
        <v>311</v>
      </c>
      <c r="M129" s="31" t="s">
        <v>311</v>
      </c>
    </row>
    <row r="130" customFormat="false" ht="15" hidden="false" customHeight="true" outlineLevel="0" collapsed="false">
      <c r="A130" s="30" t="s">
        <v>60</v>
      </c>
      <c r="B130" s="31" t="s">
        <v>618</v>
      </c>
      <c r="C130" s="31" t="s">
        <v>289</v>
      </c>
      <c r="D130" s="7" t="n">
        <v>211700</v>
      </c>
      <c r="E130" s="31" t="s">
        <v>290</v>
      </c>
      <c r="F130" s="30" t="s">
        <v>309</v>
      </c>
      <c r="G130" s="31" t="s">
        <v>619</v>
      </c>
      <c r="H130" s="31" t="s">
        <v>311</v>
      </c>
      <c r="I130" s="31" t="s">
        <v>421</v>
      </c>
      <c r="J130" s="31" t="s">
        <v>311</v>
      </c>
      <c r="K130" s="31" t="s">
        <v>311</v>
      </c>
      <c r="L130" s="31" t="s">
        <v>311</v>
      </c>
      <c r="M130" s="31" t="s">
        <v>311</v>
      </c>
    </row>
    <row r="131" customFormat="false" ht="15" hidden="false" customHeight="true" outlineLevel="0" collapsed="false">
      <c r="A131" s="30" t="s">
        <v>219</v>
      </c>
      <c r="B131" s="31" t="s">
        <v>620</v>
      </c>
      <c r="C131" s="31" t="s">
        <v>292</v>
      </c>
      <c r="D131" s="7" t="n">
        <v>91000</v>
      </c>
      <c r="E131" s="31" t="s">
        <v>290</v>
      </c>
      <c r="F131" s="30" t="s">
        <v>320</v>
      </c>
      <c r="G131" s="31" t="s">
        <v>621</v>
      </c>
      <c r="H131" s="31" t="s">
        <v>311</v>
      </c>
      <c r="I131" s="31" t="s">
        <v>421</v>
      </c>
      <c r="J131" s="30" t="s">
        <v>322</v>
      </c>
      <c r="K131" s="31" t="s">
        <v>622</v>
      </c>
      <c r="L131" s="30" t="s">
        <v>392</v>
      </c>
      <c r="M131" s="31" t="n">
        <v>50457040</v>
      </c>
    </row>
    <row r="132" customFormat="false" ht="15" hidden="false" customHeight="true" outlineLevel="0" collapsed="false">
      <c r="A132" s="31" t="s">
        <v>623</v>
      </c>
      <c r="B132" s="31" t="s">
        <v>624</v>
      </c>
      <c r="C132" s="31" t="s">
        <v>292</v>
      </c>
      <c r="D132" s="7" t="n">
        <v>20000</v>
      </c>
      <c r="E132" s="31" t="s">
        <v>290</v>
      </c>
      <c r="F132" s="30" t="s">
        <v>309</v>
      </c>
      <c r="G132" s="31" t="s">
        <v>625</v>
      </c>
      <c r="H132" s="31" t="s">
        <v>311</v>
      </c>
      <c r="I132" s="31" t="s">
        <v>421</v>
      </c>
      <c r="J132" s="31" t="s">
        <v>311</v>
      </c>
      <c r="K132" s="31" t="s">
        <v>311</v>
      </c>
      <c r="L132" s="31" t="s">
        <v>311</v>
      </c>
      <c r="M132" s="31" t="s">
        <v>311</v>
      </c>
    </row>
    <row r="133" customFormat="false" ht="15" hidden="false" customHeight="true" outlineLevel="0" collapsed="false">
      <c r="A133" s="30" t="s">
        <v>279</v>
      </c>
      <c r="B133" s="31" t="s">
        <v>626</v>
      </c>
      <c r="C133" s="31" t="s">
        <v>292</v>
      </c>
      <c r="D133" s="7" t="n">
        <v>67000</v>
      </c>
      <c r="E133" s="31" t="s">
        <v>290</v>
      </c>
      <c r="F133" s="30" t="s">
        <v>320</v>
      </c>
      <c r="G133" s="31" t="s">
        <v>627</v>
      </c>
      <c r="H133" s="31" t="s">
        <v>311</v>
      </c>
      <c r="I133" s="31" t="s">
        <v>421</v>
      </c>
      <c r="J133" s="30" t="s">
        <v>322</v>
      </c>
      <c r="K133" s="31" t="s">
        <v>628</v>
      </c>
      <c r="L133" s="30" t="s">
        <v>373</v>
      </c>
      <c r="M133" s="31" t="n">
        <v>15003412</v>
      </c>
    </row>
    <row r="134" customFormat="false" ht="15" hidden="false" customHeight="true" outlineLevel="0" collapsed="false">
      <c r="A134" s="30" t="s">
        <v>216</v>
      </c>
      <c r="B134" s="31" t="s">
        <v>439</v>
      </c>
      <c r="C134" s="31" t="s">
        <v>292</v>
      </c>
      <c r="D134" s="7" t="n">
        <v>8000</v>
      </c>
      <c r="E134" s="31" t="s">
        <v>290</v>
      </c>
      <c r="F134" s="30" t="s">
        <v>49</v>
      </c>
      <c r="G134" s="31" t="s">
        <v>629</v>
      </c>
      <c r="H134" s="31" t="s">
        <v>311</v>
      </c>
      <c r="I134" s="31" t="s">
        <v>290</v>
      </c>
      <c r="J134" s="31" t="s">
        <v>311</v>
      </c>
      <c r="K134" s="31" t="s">
        <v>311</v>
      </c>
      <c r="L134" s="31" t="s">
        <v>311</v>
      </c>
      <c r="M134" s="31" t="s">
        <v>311</v>
      </c>
    </row>
    <row r="135" customFormat="false" ht="15" hidden="false" customHeight="true" outlineLevel="0" collapsed="false">
      <c r="A135" s="31" t="s">
        <v>277</v>
      </c>
      <c r="B135" s="31" t="s">
        <v>410</v>
      </c>
      <c r="C135" s="31" t="s">
        <v>292</v>
      </c>
      <c r="D135" s="7" t="n">
        <v>81000</v>
      </c>
      <c r="E135" s="31" t="s">
        <v>290</v>
      </c>
      <c r="F135" s="30" t="s">
        <v>320</v>
      </c>
      <c r="G135" s="31" t="s">
        <v>630</v>
      </c>
      <c r="H135" s="31" t="s">
        <v>311</v>
      </c>
      <c r="I135" s="31" t="s">
        <v>421</v>
      </c>
      <c r="J135" s="30" t="s">
        <v>322</v>
      </c>
      <c r="K135" s="31" t="s">
        <v>631</v>
      </c>
      <c r="L135" s="30" t="s">
        <v>549</v>
      </c>
      <c r="M135" s="31" t="n">
        <v>41163399</v>
      </c>
    </row>
    <row r="136" customFormat="false" ht="15" hidden="false" customHeight="true" outlineLevel="0" collapsed="false">
      <c r="A136" s="30" t="s">
        <v>98</v>
      </c>
      <c r="B136" s="31" t="s">
        <v>632</v>
      </c>
      <c r="C136" s="31" t="s">
        <v>289</v>
      </c>
      <c r="D136" s="7" t="n">
        <v>201700</v>
      </c>
      <c r="E136" s="31" t="s">
        <v>290</v>
      </c>
      <c r="F136" s="30" t="s">
        <v>309</v>
      </c>
      <c r="G136" s="31" t="s">
        <v>633</v>
      </c>
      <c r="H136" s="31" t="s">
        <v>311</v>
      </c>
      <c r="I136" s="31" t="s">
        <v>421</v>
      </c>
      <c r="J136" s="31" t="s">
        <v>311</v>
      </c>
      <c r="K136" s="31" t="s">
        <v>311</v>
      </c>
      <c r="L136" s="31" t="s">
        <v>311</v>
      </c>
      <c r="M136" s="31" t="s">
        <v>311</v>
      </c>
    </row>
    <row r="137" customFormat="false" ht="15" hidden="false" customHeight="true" outlineLevel="0" collapsed="false">
      <c r="A137" s="30" t="s">
        <v>159</v>
      </c>
      <c r="B137" s="31" t="s">
        <v>395</v>
      </c>
      <c r="C137" s="31" t="s">
        <v>289</v>
      </c>
      <c r="D137" s="7" t="n">
        <v>160000</v>
      </c>
      <c r="E137" s="31" t="s">
        <v>290</v>
      </c>
      <c r="F137" s="30" t="s">
        <v>320</v>
      </c>
      <c r="G137" s="31" t="s">
        <v>634</v>
      </c>
      <c r="H137" s="31" t="s">
        <v>311</v>
      </c>
      <c r="I137" s="31" t="s">
        <v>421</v>
      </c>
      <c r="J137" s="30" t="s">
        <v>322</v>
      </c>
      <c r="K137" s="31" t="s">
        <v>635</v>
      </c>
      <c r="L137" s="30" t="s">
        <v>373</v>
      </c>
      <c r="M137" s="31" t="n">
        <v>17518502</v>
      </c>
    </row>
    <row r="138" customFormat="false" ht="15" hidden="false" customHeight="true" outlineLevel="0" collapsed="false">
      <c r="A138" s="31" t="s">
        <v>278</v>
      </c>
      <c r="B138" s="31" t="s">
        <v>636</v>
      </c>
      <c r="C138" s="31" t="s">
        <v>292</v>
      </c>
      <c r="D138" s="7" t="n">
        <v>68000</v>
      </c>
      <c r="E138" s="31" t="s">
        <v>290</v>
      </c>
      <c r="F138" s="30" t="s">
        <v>320</v>
      </c>
      <c r="G138" s="31" t="s">
        <v>637</v>
      </c>
      <c r="H138" s="31" t="s">
        <v>311</v>
      </c>
      <c r="I138" s="31" t="s">
        <v>421</v>
      </c>
      <c r="J138" s="30" t="s">
        <v>322</v>
      </c>
      <c r="K138" s="31" t="s">
        <v>638</v>
      </c>
      <c r="L138" s="30" t="s">
        <v>324</v>
      </c>
      <c r="M138" s="31" t="s">
        <v>639</v>
      </c>
    </row>
    <row r="139" customFormat="false" ht="15" hidden="false" customHeight="true" outlineLevel="0" collapsed="false">
      <c r="A139" s="30" t="s">
        <v>71</v>
      </c>
      <c r="B139" s="31" t="s">
        <v>313</v>
      </c>
      <c r="C139" s="31" t="s">
        <v>289</v>
      </c>
      <c r="D139" s="7" t="n">
        <v>211700</v>
      </c>
      <c r="E139" s="31" t="s">
        <v>290</v>
      </c>
      <c r="F139" s="30" t="s">
        <v>309</v>
      </c>
      <c r="G139" s="31" t="s">
        <v>640</v>
      </c>
      <c r="H139" s="31" t="s">
        <v>311</v>
      </c>
      <c r="I139" s="31" t="s">
        <v>421</v>
      </c>
      <c r="J139" s="31" t="s">
        <v>311</v>
      </c>
      <c r="K139" s="31" t="s">
        <v>311</v>
      </c>
      <c r="L139" s="31" t="s">
        <v>311</v>
      </c>
      <c r="M139" s="31" t="s">
        <v>311</v>
      </c>
    </row>
    <row r="140" customFormat="false" ht="15" hidden="false" customHeight="true" outlineLevel="0" collapsed="false">
      <c r="A140" s="31" t="s">
        <v>281</v>
      </c>
      <c r="B140" s="31" t="s">
        <v>641</v>
      </c>
      <c r="C140" s="31" t="s">
        <v>292</v>
      </c>
      <c r="D140" s="7" t="n">
        <v>12000</v>
      </c>
      <c r="E140" s="31" t="s">
        <v>290</v>
      </c>
      <c r="F140" s="30" t="s">
        <v>320</v>
      </c>
      <c r="G140" s="31" t="s">
        <v>642</v>
      </c>
      <c r="H140" s="31" t="s">
        <v>311</v>
      </c>
      <c r="I140" s="31" t="s">
        <v>421</v>
      </c>
      <c r="J140" s="30" t="s">
        <v>322</v>
      </c>
      <c r="K140" s="31" t="s">
        <v>643</v>
      </c>
      <c r="L140" s="30" t="s">
        <v>373</v>
      </c>
      <c r="M140" s="31" t="s">
        <v>644</v>
      </c>
    </row>
    <row r="141" customFormat="false" ht="15" hidden="false" customHeight="true" outlineLevel="0" collapsed="false">
      <c r="A141" s="30" t="s">
        <v>151</v>
      </c>
      <c r="B141" s="31" t="s">
        <v>587</v>
      </c>
      <c r="C141" s="31" t="s">
        <v>289</v>
      </c>
      <c r="D141" s="7" t="n">
        <v>211700</v>
      </c>
      <c r="E141" s="31" t="s">
        <v>290</v>
      </c>
      <c r="F141" s="30" t="s">
        <v>320</v>
      </c>
      <c r="G141" s="31" t="s">
        <v>645</v>
      </c>
      <c r="H141" s="31" t="s">
        <v>311</v>
      </c>
      <c r="I141" s="31" t="s">
        <v>421</v>
      </c>
      <c r="J141" s="30" t="s">
        <v>322</v>
      </c>
      <c r="K141" s="31" t="s">
        <v>646</v>
      </c>
      <c r="L141" s="30" t="s">
        <v>383</v>
      </c>
      <c r="M141" s="31" t="n">
        <v>74446187</v>
      </c>
    </row>
    <row r="142" customFormat="false" ht="15" hidden="false" customHeight="true" outlineLevel="0" collapsed="false">
      <c r="A142" s="30" t="s">
        <v>217</v>
      </c>
      <c r="B142" s="31" t="s">
        <v>647</v>
      </c>
      <c r="C142" s="31" t="s">
        <v>292</v>
      </c>
      <c r="D142" s="7" t="n">
        <v>8000</v>
      </c>
      <c r="E142" s="31" t="s">
        <v>290</v>
      </c>
      <c r="F142" s="30" t="s">
        <v>320</v>
      </c>
      <c r="G142" s="31" t="s">
        <v>648</v>
      </c>
      <c r="H142" s="31" t="s">
        <v>311</v>
      </c>
      <c r="I142" s="31" t="s">
        <v>421</v>
      </c>
      <c r="J142" s="30" t="s">
        <v>322</v>
      </c>
      <c r="K142" s="31" t="s">
        <v>649</v>
      </c>
      <c r="L142" s="30" t="s">
        <v>373</v>
      </c>
      <c r="M142" s="31" t="n">
        <v>11000410</v>
      </c>
    </row>
    <row r="143" customFormat="false" ht="15" hidden="false" customHeight="true" outlineLevel="0" collapsed="false">
      <c r="A143" s="30" t="s">
        <v>122</v>
      </c>
      <c r="B143" s="31" t="s">
        <v>650</v>
      </c>
      <c r="C143" s="31" t="s">
        <v>289</v>
      </c>
      <c r="D143" s="7" t="n">
        <v>173000</v>
      </c>
      <c r="E143" s="31" t="s">
        <v>290</v>
      </c>
      <c r="F143" s="30" t="s">
        <v>309</v>
      </c>
      <c r="G143" s="31" t="s">
        <v>651</v>
      </c>
      <c r="H143" s="31" t="s">
        <v>311</v>
      </c>
      <c r="I143" s="31" t="s">
        <v>421</v>
      </c>
      <c r="J143" s="31" t="s">
        <v>311</v>
      </c>
      <c r="K143" s="31" t="s">
        <v>311</v>
      </c>
      <c r="L143" s="31" t="s">
        <v>311</v>
      </c>
      <c r="M143" s="31" t="s">
        <v>311</v>
      </c>
    </row>
    <row r="144" customFormat="false" ht="15" hidden="false" customHeight="true" outlineLevel="0" collapsed="false">
      <c r="A144" s="30" t="s">
        <v>127</v>
      </c>
      <c r="B144" s="31" t="s">
        <v>652</v>
      </c>
      <c r="C144" s="31" t="s">
        <v>289</v>
      </c>
      <c r="D144" s="7" t="n">
        <v>273000</v>
      </c>
      <c r="E144" s="31" t="s">
        <v>290</v>
      </c>
      <c r="F144" s="30" t="s">
        <v>320</v>
      </c>
      <c r="G144" s="31" t="s">
        <v>653</v>
      </c>
      <c r="H144" s="31" t="s">
        <v>311</v>
      </c>
      <c r="I144" s="31" t="s">
        <v>421</v>
      </c>
      <c r="J144" s="30" t="s">
        <v>322</v>
      </c>
      <c r="K144" s="31" t="s">
        <v>654</v>
      </c>
      <c r="L144" s="30" t="s">
        <v>383</v>
      </c>
      <c r="M144" s="31" t="n">
        <v>73926289</v>
      </c>
    </row>
    <row r="145" customFormat="false" ht="15" hidden="false" customHeight="true" outlineLevel="0" collapsed="false">
      <c r="A145" s="30" t="s">
        <v>122</v>
      </c>
      <c r="B145" s="31" t="s">
        <v>650</v>
      </c>
      <c r="C145" s="31" t="s">
        <v>289</v>
      </c>
      <c r="D145" s="7" t="n">
        <v>273000</v>
      </c>
      <c r="E145" s="31" t="s">
        <v>290</v>
      </c>
      <c r="F145" s="30" t="s">
        <v>49</v>
      </c>
      <c r="G145" s="31" t="s">
        <v>655</v>
      </c>
      <c r="H145" s="31" t="s">
        <v>311</v>
      </c>
      <c r="I145" s="31" t="s">
        <v>290</v>
      </c>
      <c r="J145" s="31" t="s">
        <v>311</v>
      </c>
      <c r="K145" s="31" t="s">
        <v>311</v>
      </c>
      <c r="L145" s="31" t="s">
        <v>311</v>
      </c>
      <c r="M145" s="31" t="s">
        <v>311</v>
      </c>
    </row>
    <row r="146" customFormat="false" ht="15" hidden="false" customHeight="true" outlineLevel="0" collapsed="false">
      <c r="A146" s="30" t="s">
        <v>154</v>
      </c>
      <c r="B146" s="31" t="s">
        <v>352</v>
      </c>
      <c r="C146" s="31" t="s">
        <v>289</v>
      </c>
      <c r="D146" s="7" t="n">
        <v>191000</v>
      </c>
      <c r="E146" s="31" t="s">
        <v>290</v>
      </c>
      <c r="F146" s="30" t="s">
        <v>320</v>
      </c>
      <c r="G146" s="31" t="s">
        <v>656</v>
      </c>
      <c r="H146" s="31" t="s">
        <v>311</v>
      </c>
      <c r="I146" s="31" t="s">
        <v>421</v>
      </c>
      <c r="J146" s="30" t="s">
        <v>322</v>
      </c>
      <c r="K146" s="31" t="s">
        <v>657</v>
      </c>
      <c r="L146" s="30" t="s">
        <v>355</v>
      </c>
      <c r="M146" s="31" t="n">
        <v>33957838</v>
      </c>
    </row>
    <row r="147" customFormat="false" ht="15" hidden="false" customHeight="true" outlineLevel="0" collapsed="false">
      <c r="A147" s="30" t="s">
        <v>94</v>
      </c>
      <c r="B147" s="31" t="s">
        <v>658</v>
      </c>
      <c r="C147" s="31" t="s">
        <v>289</v>
      </c>
      <c r="D147" s="7" t="n">
        <v>291000</v>
      </c>
      <c r="E147" s="31" t="s">
        <v>290</v>
      </c>
      <c r="F147" s="30" t="s">
        <v>309</v>
      </c>
      <c r="G147" s="31" t="s">
        <v>659</v>
      </c>
      <c r="H147" s="31" t="s">
        <v>311</v>
      </c>
      <c r="I147" s="31" t="s">
        <v>421</v>
      </c>
      <c r="J147" s="31" t="s">
        <v>311</v>
      </c>
      <c r="K147" s="31" t="s">
        <v>311</v>
      </c>
      <c r="L147" s="31" t="s">
        <v>311</v>
      </c>
      <c r="M147" s="31" t="s">
        <v>311</v>
      </c>
    </row>
    <row r="148" customFormat="false" ht="15" hidden="false" customHeight="true" outlineLevel="0" collapsed="false">
      <c r="A148" s="30" t="s">
        <v>74</v>
      </c>
      <c r="B148" s="31" t="s">
        <v>660</v>
      </c>
      <c r="C148" s="31" t="s">
        <v>289</v>
      </c>
      <c r="D148" s="7" t="n">
        <v>291000</v>
      </c>
      <c r="E148" s="31" t="s">
        <v>290</v>
      </c>
      <c r="F148" s="30" t="s">
        <v>309</v>
      </c>
      <c r="G148" s="31" t="s">
        <v>661</v>
      </c>
      <c r="H148" s="31" t="s">
        <v>311</v>
      </c>
      <c r="I148" s="31" t="s">
        <v>421</v>
      </c>
      <c r="J148" s="31" t="s">
        <v>311</v>
      </c>
      <c r="K148" s="31" t="s">
        <v>311</v>
      </c>
      <c r="L148" s="31" t="s">
        <v>311</v>
      </c>
      <c r="M148" s="31" t="s">
        <v>311</v>
      </c>
    </row>
    <row r="149" customFormat="false" ht="15" hidden="false" customHeight="true" outlineLevel="0" collapsed="false">
      <c r="A149" s="30" t="s">
        <v>141</v>
      </c>
      <c r="B149" s="31" t="s">
        <v>662</v>
      </c>
      <c r="C149" s="31" t="s">
        <v>289</v>
      </c>
      <c r="D149" s="7" t="n">
        <v>201000</v>
      </c>
      <c r="E149" s="31" t="s">
        <v>290</v>
      </c>
      <c r="F149" s="30" t="s">
        <v>320</v>
      </c>
      <c r="G149" s="31" t="s">
        <v>663</v>
      </c>
      <c r="H149" s="31" t="s">
        <v>311</v>
      </c>
      <c r="I149" s="31" t="s">
        <v>421</v>
      </c>
      <c r="J149" s="30" t="s">
        <v>322</v>
      </c>
      <c r="K149" s="31" t="s">
        <v>664</v>
      </c>
      <c r="L149" s="30" t="s">
        <v>549</v>
      </c>
      <c r="M149" s="31" t="n">
        <v>76309525</v>
      </c>
    </row>
    <row r="150" customFormat="false" ht="15" hidden="false" customHeight="true" outlineLevel="0" collapsed="false">
      <c r="A150" s="30" t="s">
        <v>87</v>
      </c>
      <c r="B150" s="31" t="s">
        <v>470</v>
      </c>
      <c r="C150" s="31" t="s">
        <v>289</v>
      </c>
      <c r="D150" s="7" t="n">
        <v>201000</v>
      </c>
      <c r="E150" s="31" t="s">
        <v>290</v>
      </c>
      <c r="F150" s="30" t="s">
        <v>320</v>
      </c>
      <c r="G150" s="31" t="s">
        <v>665</v>
      </c>
      <c r="H150" s="31" t="s">
        <v>311</v>
      </c>
      <c r="I150" s="31" t="s">
        <v>421</v>
      </c>
      <c r="J150" s="30" t="s">
        <v>322</v>
      </c>
      <c r="K150" s="31" t="s">
        <v>666</v>
      </c>
      <c r="L150" s="30" t="s">
        <v>373</v>
      </c>
      <c r="M150" s="31" t="n">
        <v>18100310</v>
      </c>
    </row>
    <row r="151" customFormat="false" ht="15" hidden="false" customHeight="true" outlineLevel="0" collapsed="false">
      <c r="A151" s="30" t="s">
        <v>103</v>
      </c>
      <c r="B151" s="31" t="s">
        <v>667</v>
      </c>
      <c r="C151" s="31" t="s">
        <v>289</v>
      </c>
      <c r="D151" s="7" t="n">
        <v>191000</v>
      </c>
      <c r="E151" s="31" t="s">
        <v>290</v>
      </c>
      <c r="F151" s="30" t="s">
        <v>309</v>
      </c>
      <c r="G151" s="31" t="s">
        <v>668</v>
      </c>
      <c r="H151" s="31" t="s">
        <v>311</v>
      </c>
      <c r="I151" s="31" t="s">
        <v>421</v>
      </c>
      <c r="J151" s="31" t="s">
        <v>311</v>
      </c>
      <c r="K151" s="31" t="s">
        <v>311</v>
      </c>
      <c r="L151" s="31" t="s">
        <v>311</v>
      </c>
      <c r="M151" s="31" t="s">
        <v>311</v>
      </c>
    </row>
    <row r="152" customFormat="false" ht="15" hidden="false" customHeight="true" outlineLevel="0" collapsed="false">
      <c r="A152" s="30" t="s">
        <v>149</v>
      </c>
      <c r="B152" s="31" t="s">
        <v>669</v>
      </c>
      <c r="C152" s="31" t="s">
        <v>289</v>
      </c>
      <c r="D152" s="7" t="n">
        <v>191000</v>
      </c>
      <c r="E152" s="31" t="s">
        <v>290</v>
      </c>
      <c r="F152" s="30" t="s">
        <v>320</v>
      </c>
      <c r="G152" s="31" t="s">
        <v>670</v>
      </c>
      <c r="H152" s="31" t="s">
        <v>311</v>
      </c>
      <c r="I152" s="31" t="s">
        <v>421</v>
      </c>
      <c r="J152" s="30" t="s">
        <v>322</v>
      </c>
      <c r="K152" s="31" t="s">
        <v>671</v>
      </c>
      <c r="L152" s="30" t="s">
        <v>392</v>
      </c>
      <c r="M152" s="31" t="n">
        <v>68936058</v>
      </c>
    </row>
    <row r="153" customFormat="false" ht="15" hidden="false" customHeight="true" outlineLevel="0" collapsed="false">
      <c r="A153" s="30" t="s">
        <v>67</v>
      </c>
      <c r="B153" s="31" t="s">
        <v>356</v>
      </c>
      <c r="C153" s="31" t="s">
        <v>289</v>
      </c>
      <c r="D153" s="7" t="n">
        <v>191000</v>
      </c>
      <c r="E153" s="31" t="s">
        <v>290</v>
      </c>
      <c r="F153" s="30" t="s">
        <v>309</v>
      </c>
      <c r="G153" s="31" t="s">
        <v>672</v>
      </c>
      <c r="H153" s="31" t="s">
        <v>311</v>
      </c>
      <c r="I153" s="31" t="s">
        <v>421</v>
      </c>
      <c r="J153" s="31" t="s">
        <v>311</v>
      </c>
      <c r="K153" s="31" t="s">
        <v>311</v>
      </c>
      <c r="L153" s="31" t="s">
        <v>311</v>
      </c>
      <c r="M153" s="31" t="s">
        <v>311</v>
      </c>
    </row>
    <row r="154" customFormat="false" ht="15" hidden="false" customHeight="true" outlineLevel="0" collapsed="false">
      <c r="A154" s="30" t="s">
        <v>99</v>
      </c>
      <c r="B154" s="31" t="s">
        <v>673</v>
      </c>
      <c r="C154" s="31" t="s">
        <v>289</v>
      </c>
      <c r="D154" s="7" t="n">
        <v>201000</v>
      </c>
      <c r="E154" s="31" t="s">
        <v>290</v>
      </c>
      <c r="F154" s="30" t="s">
        <v>309</v>
      </c>
      <c r="G154" s="31" t="s">
        <v>674</v>
      </c>
      <c r="H154" s="31" t="s">
        <v>311</v>
      </c>
      <c r="I154" s="31" t="s">
        <v>421</v>
      </c>
      <c r="J154" s="31" t="s">
        <v>311</v>
      </c>
      <c r="K154" s="31" t="s">
        <v>311</v>
      </c>
      <c r="L154" s="31" t="s">
        <v>311</v>
      </c>
      <c r="M154" s="31" t="s">
        <v>311</v>
      </c>
    </row>
    <row r="155" customFormat="false" ht="15" hidden="false" customHeight="true" outlineLevel="0" collapsed="false">
      <c r="A155" s="30" t="s">
        <v>123</v>
      </c>
      <c r="B155" s="31" t="s">
        <v>675</v>
      </c>
      <c r="C155" s="31" t="s">
        <v>289</v>
      </c>
      <c r="D155" s="7" t="n">
        <v>191000</v>
      </c>
      <c r="E155" s="31" t="s">
        <v>290</v>
      </c>
      <c r="F155" s="30" t="s">
        <v>320</v>
      </c>
      <c r="G155" s="31" t="s">
        <v>676</v>
      </c>
      <c r="H155" s="31" t="s">
        <v>311</v>
      </c>
      <c r="I155" s="31" t="s">
        <v>421</v>
      </c>
      <c r="J155" s="30" t="s">
        <v>322</v>
      </c>
      <c r="K155" s="31" t="s">
        <v>677</v>
      </c>
      <c r="L155" s="30" t="s">
        <v>324</v>
      </c>
      <c r="M155" s="31" t="s">
        <v>678</v>
      </c>
    </row>
    <row r="156" customFormat="false" ht="15" hidden="false" customHeight="true" outlineLevel="0" collapsed="false">
      <c r="A156" s="30" t="s">
        <v>134</v>
      </c>
      <c r="B156" s="31" t="s">
        <v>679</v>
      </c>
      <c r="C156" s="31" t="s">
        <v>289</v>
      </c>
      <c r="D156" s="7" t="n">
        <v>191000</v>
      </c>
      <c r="E156" s="31" t="s">
        <v>290</v>
      </c>
      <c r="F156" s="30" t="s">
        <v>320</v>
      </c>
      <c r="G156" s="31" t="s">
        <v>680</v>
      </c>
      <c r="H156" s="31" t="s">
        <v>311</v>
      </c>
      <c r="I156" s="31" t="s">
        <v>421</v>
      </c>
      <c r="J156" s="30" t="s">
        <v>322</v>
      </c>
      <c r="K156" s="31" t="s">
        <v>681</v>
      </c>
      <c r="L156" s="30" t="s">
        <v>392</v>
      </c>
      <c r="M156" s="31" t="n">
        <v>62648314</v>
      </c>
    </row>
    <row r="157" customFormat="false" ht="15" hidden="false" customHeight="true" outlineLevel="0" collapsed="false">
      <c r="A157" s="30" t="s">
        <v>124</v>
      </c>
      <c r="B157" s="31" t="s">
        <v>682</v>
      </c>
      <c r="C157" s="31" t="s">
        <v>289</v>
      </c>
      <c r="D157" s="7" t="n">
        <v>191000</v>
      </c>
      <c r="E157" s="31" t="s">
        <v>290</v>
      </c>
      <c r="F157" s="30" t="s">
        <v>320</v>
      </c>
      <c r="G157" s="31" t="s">
        <v>683</v>
      </c>
      <c r="H157" s="31" t="s">
        <v>311</v>
      </c>
      <c r="I157" s="31" t="s">
        <v>421</v>
      </c>
      <c r="J157" s="30" t="s">
        <v>322</v>
      </c>
      <c r="K157" s="31" t="s">
        <v>684</v>
      </c>
      <c r="L157" s="30" t="s">
        <v>331</v>
      </c>
      <c r="M157" s="31" t="n">
        <v>48877184</v>
      </c>
    </row>
    <row r="158" customFormat="false" ht="15" hidden="false" customHeight="true" outlineLevel="0" collapsed="false">
      <c r="A158" s="30" t="s">
        <v>108</v>
      </c>
      <c r="B158" s="31" t="s">
        <v>685</v>
      </c>
      <c r="C158" s="31" t="s">
        <v>289</v>
      </c>
      <c r="D158" s="7" t="n">
        <v>173000</v>
      </c>
      <c r="E158" s="31" t="s">
        <v>290</v>
      </c>
      <c r="F158" s="30" t="s">
        <v>309</v>
      </c>
      <c r="G158" s="31" t="s">
        <v>686</v>
      </c>
      <c r="H158" s="31" t="s">
        <v>311</v>
      </c>
      <c r="I158" s="31" t="s">
        <v>421</v>
      </c>
      <c r="J158" s="31" t="s">
        <v>311</v>
      </c>
      <c r="K158" s="31" t="s">
        <v>311</v>
      </c>
      <c r="L158" s="31" t="s">
        <v>311</v>
      </c>
      <c r="M158" s="31" t="s">
        <v>311</v>
      </c>
    </row>
    <row r="159" customFormat="false" ht="15" hidden="false" customHeight="true" outlineLevel="0" collapsed="false">
      <c r="A159" s="30" t="s">
        <v>140</v>
      </c>
      <c r="B159" s="31" t="s">
        <v>685</v>
      </c>
      <c r="C159" s="31" t="s">
        <v>289</v>
      </c>
      <c r="D159" s="7" t="n">
        <v>173000</v>
      </c>
      <c r="E159" s="31" t="s">
        <v>290</v>
      </c>
      <c r="F159" s="30" t="s">
        <v>320</v>
      </c>
      <c r="G159" s="31" t="s">
        <v>687</v>
      </c>
      <c r="H159" s="31" t="s">
        <v>311</v>
      </c>
      <c r="I159" s="31" t="s">
        <v>421</v>
      </c>
      <c r="J159" s="30" t="s">
        <v>322</v>
      </c>
      <c r="K159" s="31" t="s">
        <v>688</v>
      </c>
      <c r="L159" s="30" t="s">
        <v>392</v>
      </c>
      <c r="M159" s="31" t="n">
        <v>33886614</v>
      </c>
    </row>
    <row r="160" customFormat="false" ht="15" hidden="false" customHeight="true" outlineLevel="0" collapsed="false">
      <c r="A160" s="30" t="s">
        <v>104</v>
      </c>
      <c r="B160" s="31" t="s">
        <v>306</v>
      </c>
      <c r="C160" s="31" t="s">
        <v>289</v>
      </c>
      <c r="D160" s="7" t="n">
        <v>191000</v>
      </c>
      <c r="E160" s="31" t="s">
        <v>290</v>
      </c>
      <c r="F160" s="30" t="s">
        <v>309</v>
      </c>
      <c r="G160" s="31" t="s">
        <v>689</v>
      </c>
      <c r="H160" s="31" t="s">
        <v>311</v>
      </c>
      <c r="I160" s="31" t="s">
        <v>421</v>
      </c>
      <c r="J160" s="31" t="s">
        <v>311</v>
      </c>
      <c r="K160" s="31" t="s">
        <v>311</v>
      </c>
      <c r="L160" s="31" t="s">
        <v>311</v>
      </c>
      <c r="M160" s="31" t="s">
        <v>311</v>
      </c>
    </row>
    <row r="161" customFormat="false" ht="15" hidden="false" customHeight="true" outlineLevel="0" collapsed="false">
      <c r="A161" s="30" t="s">
        <v>117</v>
      </c>
      <c r="B161" s="31" t="s">
        <v>332</v>
      </c>
      <c r="C161" s="31" t="s">
        <v>289</v>
      </c>
      <c r="D161" s="7" t="n">
        <v>191000</v>
      </c>
      <c r="E161" s="31" t="s">
        <v>290</v>
      </c>
      <c r="F161" s="30" t="s">
        <v>320</v>
      </c>
      <c r="G161" s="31" t="s">
        <v>690</v>
      </c>
      <c r="H161" s="31" t="s">
        <v>311</v>
      </c>
      <c r="I161" s="31" t="s">
        <v>421</v>
      </c>
      <c r="J161" s="30" t="s">
        <v>322</v>
      </c>
      <c r="K161" s="31" t="s">
        <v>691</v>
      </c>
      <c r="L161" s="30" t="s">
        <v>331</v>
      </c>
      <c r="M161" s="31" t="n">
        <v>21302668</v>
      </c>
    </row>
    <row r="162" customFormat="false" ht="15" hidden="false" customHeight="true" outlineLevel="0" collapsed="false">
      <c r="A162" s="30" t="s">
        <v>125</v>
      </c>
      <c r="B162" s="31" t="s">
        <v>692</v>
      </c>
      <c r="C162" s="31" t="s">
        <v>289</v>
      </c>
      <c r="D162" s="7" t="n">
        <v>201000</v>
      </c>
      <c r="E162" s="31" t="s">
        <v>290</v>
      </c>
      <c r="F162" s="30" t="s">
        <v>320</v>
      </c>
      <c r="G162" s="31" t="s">
        <v>693</v>
      </c>
      <c r="H162" s="31" t="s">
        <v>311</v>
      </c>
      <c r="I162" s="31" t="s">
        <v>421</v>
      </c>
      <c r="J162" s="30" t="s">
        <v>322</v>
      </c>
      <c r="K162" s="31" t="s">
        <v>694</v>
      </c>
      <c r="L162" s="30" t="s">
        <v>324</v>
      </c>
      <c r="M162" s="31" t="s">
        <v>695</v>
      </c>
    </row>
    <row r="163" customFormat="false" ht="15" hidden="false" customHeight="true" outlineLevel="0" collapsed="false">
      <c r="A163" s="30" t="s">
        <v>133</v>
      </c>
      <c r="B163" s="31" t="s">
        <v>696</v>
      </c>
      <c r="C163" s="31" t="s">
        <v>289</v>
      </c>
      <c r="D163" s="7" t="n">
        <v>191000</v>
      </c>
      <c r="E163" s="31" t="s">
        <v>290</v>
      </c>
      <c r="F163" s="30" t="s">
        <v>320</v>
      </c>
      <c r="G163" s="31" t="s">
        <v>697</v>
      </c>
      <c r="H163" s="31" t="s">
        <v>311</v>
      </c>
      <c r="I163" s="31" t="s">
        <v>421</v>
      </c>
      <c r="J163" s="30" t="s">
        <v>322</v>
      </c>
      <c r="K163" s="31" t="s">
        <v>698</v>
      </c>
      <c r="L163" s="30" t="s">
        <v>373</v>
      </c>
      <c r="M163" s="31" t="n">
        <v>38000010</v>
      </c>
    </row>
    <row r="164" customFormat="false" ht="15" hidden="false" customHeight="true" outlineLevel="0" collapsed="false">
      <c r="A164" s="30" t="s">
        <v>155</v>
      </c>
      <c r="B164" s="31" t="s">
        <v>348</v>
      </c>
      <c r="C164" s="31" t="s">
        <v>289</v>
      </c>
      <c r="D164" s="7" t="n">
        <v>191000</v>
      </c>
      <c r="E164" s="31" t="s">
        <v>290</v>
      </c>
      <c r="F164" s="30" t="s">
        <v>320</v>
      </c>
      <c r="G164" s="31" t="s">
        <v>699</v>
      </c>
      <c r="H164" s="31" t="s">
        <v>311</v>
      </c>
      <c r="I164" s="31" t="s">
        <v>421</v>
      </c>
      <c r="J164" s="30" t="s">
        <v>322</v>
      </c>
      <c r="K164" s="31" t="s">
        <v>700</v>
      </c>
      <c r="L164" s="30" t="s">
        <v>324</v>
      </c>
      <c r="M164" s="31" t="s">
        <v>701</v>
      </c>
    </row>
    <row r="165" customFormat="false" ht="15" hidden="false" customHeight="true" outlineLevel="0" collapsed="false">
      <c r="A165" s="30" t="s">
        <v>87</v>
      </c>
      <c r="B165" s="31" t="s">
        <v>336</v>
      </c>
      <c r="C165" s="31" t="s">
        <v>289</v>
      </c>
      <c r="D165" s="7" t="n">
        <v>191000</v>
      </c>
      <c r="E165" s="31" t="s">
        <v>290</v>
      </c>
      <c r="F165" s="30" t="s">
        <v>320</v>
      </c>
      <c r="G165" s="31" t="s">
        <v>702</v>
      </c>
      <c r="H165" s="31" t="s">
        <v>311</v>
      </c>
      <c r="I165" s="31" t="s">
        <v>421</v>
      </c>
      <c r="J165" s="30" t="s">
        <v>322</v>
      </c>
      <c r="K165" s="31" t="s">
        <v>703</v>
      </c>
      <c r="L165" s="30" t="s">
        <v>324</v>
      </c>
      <c r="M165" s="31" t="s">
        <v>704</v>
      </c>
    </row>
    <row r="166" customFormat="false" ht="15" hidden="false" customHeight="true" outlineLevel="0" collapsed="false">
      <c r="A166" s="30" t="s">
        <v>86</v>
      </c>
      <c r="B166" s="31" t="s">
        <v>464</v>
      </c>
      <c r="C166" s="31" t="s">
        <v>289</v>
      </c>
      <c r="D166" s="7" t="n">
        <v>326000</v>
      </c>
      <c r="E166" s="31" t="s">
        <v>290</v>
      </c>
      <c r="F166" s="30" t="s">
        <v>49</v>
      </c>
      <c r="G166" s="31" t="s">
        <v>705</v>
      </c>
      <c r="H166" s="31" t="s">
        <v>311</v>
      </c>
      <c r="I166" s="31" t="s">
        <v>290</v>
      </c>
      <c r="J166" s="31" t="s">
        <v>311</v>
      </c>
      <c r="K166" s="31" t="s">
        <v>311</v>
      </c>
      <c r="L166" s="31" t="s">
        <v>311</v>
      </c>
      <c r="M166" s="31" t="s">
        <v>311</v>
      </c>
    </row>
    <row r="167" customFormat="false" ht="15" hidden="false" customHeight="true" outlineLevel="0" collapsed="false">
      <c r="A167" s="30" t="s">
        <v>80</v>
      </c>
      <c r="B167" s="31" t="s">
        <v>342</v>
      </c>
      <c r="C167" s="31" t="s">
        <v>289</v>
      </c>
      <c r="D167" s="7" t="n">
        <v>191000</v>
      </c>
      <c r="E167" s="31" t="s">
        <v>290</v>
      </c>
      <c r="F167" s="30" t="s">
        <v>309</v>
      </c>
      <c r="G167" s="31" t="s">
        <v>706</v>
      </c>
      <c r="H167" s="31" t="s">
        <v>311</v>
      </c>
      <c r="I167" s="31" t="s">
        <v>421</v>
      </c>
      <c r="J167" s="31" t="s">
        <v>311</v>
      </c>
      <c r="K167" s="31" t="s">
        <v>311</v>
      </c>
      <c r="L167" s="31" t="s">
        <v>311</v>
      </c>
      <c r="M167" s="31" t="s">
        <v>311</v>
      </c>
    </row>
    <row r="168" customFormat="false" ht="15" hidden="false" customHeight="true" outlineLevel="0" collapsed="false">
      <c r="A168" s="30" t="s">
        <v>100</v>
      </c>
      <c r="B168" s="31" t="s">
        <v>340</v>
      </c>
      <c r="C168" s="31" t="s">
        <v>289</v>
      </c>
      <c r="D168" s="7" t="n">
        <v>191000</v>
      </c>
      <c r="E168" s="31" t="s">
        <v>290</v>
      </c>
      <c r="F168" s="30" t="s">
        <v>309</v>
      </c>
      <c r="G168" s="31" t="s">
        <v>707</v>
      </c>
      <c r="H168" s="31" t="s">
        <v>311</v>
      </c>
      <c r="I168" s="31" t="s">
        <v>421</v>
      </c>
      <c r="J168" s="31" t="s">
        <v>311</v>
      </c>
      <c r="K168" s="31" t="s">
        <v>311</v>
      </c>
      <c r="L168" s="31" t="s">
        <v>311</v>
      </c>
      <c r="M168" s="31" t="s">
        <v>311</v>
      </c>
    </row>
    <row r="169" customFormat="false" ht="15" hidden="false" customHeight="true" outlineLevel="0" collapsed="false">
      <c r="A169" s="30" t="s">
        <v>147</v>
      </c>
      <c r="B169" s="31" t="s">
        <v>344</v>
      </c>
      <c r="C169" s="31" t="s">
        <v>289</v>
      </c>
      <c r="D169" s="7" t="n">
        <v>191000</v>
      </c>
      <c r="E169" s="31" t="s">
        <v>290</v>
      </c>
      <c r="F169" s="30" t="s">
        <v>320</v>
      </c>
      <c r="G169" s="31" t="s">
        <v>708</v>
      </c>
      <c r="H169" s="31" t="s">
        <v>311</v>
      </c>
      <c r="I169" s="31" t="s">
        <v>421</v>
      </c>
      <c r="J169" s="30" t="s">
        <v>322</v>
      </c>
      <c r="K169" s="31" t="s">
        <v>709</v>
      </c>
      <c r="L169" s="30" t="s">
        <v>468</v>
      </c>
      <c r="M169" s="31" t="n">
        <v>30078483</v>
      </c>
    </row>
    <row r="170" customFormat="false" ht="15" hidden="false" customHeight="true" outlineLevel="0" collapsed="false">
      <c r="A170" s="30" t="s">
        <v>53</v>
      </c>
      <c r="B170" s="31" t="s">
        <v>334</v>
      </c>
      <c r="C170" s="31" t="s">
        <v>289</v>
      </c>
      <c r="D170" s="7" t="n">
        <v>191000</v>
      </c>
      <c r="E170" s="31" t="s">
        <v>290</v>
      </c>
      <c r="F170" s="30" t="s">
        <v>309</v>
      </c>
      <c r="G170" s="31" t="s">
        <v>710</v>
      </c>
      <c r="H170" s="31" t="s">
        <v>311</v>
      </c>
      <c r="I170" s="31" t="s">
        <v>290</v>
      </c>
      <c r="J170" s="31" t="s">
        <v>311</v>
      </c>
      <c r="K170" s="31" t="s">
        <v>311</v>
      </c>
      <c r="L170" s="31" t="s">
        <v>311</v>
      </c>
      <c r="M170" s="31" t="s">
        <v>311</v>
      </c>
    </row>
    <row r="171" customFormat="false" ht="15" hidden="false" customHeight="true" outlineLevel="0" collapsed="false">
      <c r="A171" s="30" t="s">
        <v>136</v>
      </c>
      <c r="B171" s="31" t="s">
        <v>711</v>
      </c>
      <c r="C171" s="31" t="s">
        <v>289</v>
      </c>
      <c r="D171" s="7" t="n">
        <v>191000</v>
      </c>
      <c r="E171" s="31" t="s">
        <v>290</v>
      </c>
      <c r="F171" s="30" t="s">
        <v>320</v>
      </c>
      <c r="G171" s="31" t="s">
        <v>712</v>
      </c>
      <c r="H171" s="31" t="s">
        <v>311</v>
      </c>
      <c r="I171" s="31" t="s">
        <v>421</v>
      </c>
      <c r="J171" s="30" t="s">
        <v>322</v>
      </c>
      <c r="K171" s="31" t="s">
        <v>713</v>
      </c>
      <c r="L171" s="30" t="s">
        <v>324</v>
      </c>
      <c r="M171" s="31" t="s">
        <v>714</v>
      </c>
    </row>
    <row r="172" customFormat="false" ht="15" hidden="false" customHeight="true" outlineLevel="0" collapsed="false">
      <c r="A172" s="30" t="s">
        <v>142</v>
      </c>
      <c r="B172" s="31" t="s">
        <v>715</v>
      </c>
      <c r="C172" s="31" t="s">
        <v>289</v>
      </c>
      <c r="D172" s="7" t="n">
        <v>191000</v>
      </c>
      <c r="E172" s="31" t="s">
        <v>290</v>
      </c>
      <c r="F172" s="30" t="s">
        <v>320</v>
      </c>
      <c r="G172" s="31" t="s">
        <v>716</v>
      </c>
      <c r="H172" s="31" t="s">
        <v>311</v>
      </c>
      <c r="I172" s="31" t="s">
        <v>421</v>
      </c>
      <c r="J172" s="30" t="s">
        <v>322</v>
      </c>
      <c r="K172" s="31" t="s">
        <v>717</v>
      </c>
      <c r="L172" s="30" t="s">
        <v>355</v>
      </c>
      <c r="M172" s="31" t="s">
        <v>718</v>
      </c>
    </row>
    <row r="173" customFormat="false" ht="15" hidden="false" customHeight="true" outlineLevel="0" collapsed="false">
      <c r="A173" s="30" t="s">
        <v>110</v>
      </c>
      <c r="B173" s="31" t="s">
        <v>482</v>
      </c>
      <c r="C173" s="31" t="s">
        <v>289</v>
      </c>
      <c r="D173" s="7" t="n">
        <v>191000</v>
      </c>
      <c r="E173" s="31" t="s">
        <v>290</v>
      </c>
      <c r="F173" s="30" t="s">
        <v>320</v>
      </c>
      <c r="G173" s="31" t="s">
        <v>719</v>
      </c>
      <c r="H173" s="31" t="s">
        <v>311</v>
      </c>
      <c r="I173" s="31" t="s">
        <v>421</v>
      </c>
      <c r="J173" s="30" t="s">
        <v>322</v>
      </c>
      <c r="K173" s="31" t="s">
        <v>720</v>
      </c>
      <c r="L173" s="30" t="s">
        <v>373</v>
      </c>
      <c r="M173" s="31" t="s">
        <v>721</v>
      </c>
    </row>
    <row r="174" customFormat="false" ht="15" hidden="false" customHeight="true" outlineLevel="0" collapsed="false">
      <c r="A174" s="30" t="s">
        <v>145</v>
      </c>
      <c r="B174" s="31" t="s">
        <v>326</v>
      </c>
      <c r="C174" s="31" t="s">
        <v>289</v>
      </c>
      <c r="D174" s="7" t="n">
        <v>191000</v>
      </c>
      <c r="E174" s="31" t="s">
        <v>290</v>
      </c>
      <c r="F174" s="30" t="s">
        <v>320</v>
      </c>
      <c r="G174" s="31" t="s">
        <v>722</v>
      </c>
      <c r="H174" s="31" t="s">
        <v>311</v>
      </c>
      <c r="I174" s="31" t="s">
        <v>421</v>
      </c>
      <c r="J174" s="30" t="s">
        <v>322</v>
      </c>
      <c r="K174" s="31" t="s">
        <v>723</v>
      </c>
      <c r="L174" s="30" t="s">
        <v>324</v>
      </c>
      <c r="M174" s="31" t="s">
        <v>724</v>
      </c>
    </row>
    <row r="175" customFormat="false" ht="15" hidden="false" customHeight="true" outlineLevel="0" collapsed="false">
      <c r="A175" s="30" t="s">
        <v>208</v>
      </c>
      <c r="B175" s="31" t="s">
        <v>328</v>
      </c>
      <c r="C175" s="31" t="s">
        <v>289</v>
      </c>
      <c r="D175" s="7" t="n">
        <v>191000</v>
      </c>
      <c r="E175" s="31" t="s">
        <v>290</v>
      </c>
      <c r="F175" s="30" t="s">
        <v>320</v>
      </c>
      <c r="G175" s="31" t="s">
        <v>725</v>
      </c>
      <c r="H175" s="31" t="s">
        <v>311</v>
      </c>
      <c r="I175" s="31" t="s">
        <v>421</v>
      </c>
      <c r="J175" s="30" t="s">
        <v>322</v>
      </c>
      <c r="K175" s="31" t="s">
        <v>726</v>
      </c>
      <c r="L175" s="30" t="s">
        <v>331</v>
      </c>
      <c r="M175" s="31" t="n">
        <v>21174936</v>
      </c>
    </row>
    <row r="176" customFormat="false" ht="15" hidden="false" customHeight="true" outlineLevel="0" collapsed="false">
      <c r="A176" s="30" t="s">
        <v>77</v>
      </c>
      <c r="B176" s="31" t="s">
        <v>306</v>
      </c>
      <c r="C176" s="31" t="s">
        <v>289</v>
      </c>
      <c r="D176" s="7" t="n">
        <v>191000</v>
      </c>
      <c r="E176" s="31" t="s">
        <v>290</v>
      </c>
      <c r="F176" s="30" t="s">
        <v>309</v>
      </c>
      <c r="G176" s="31" t="s">
        <v>727</v>
      </c>
      <c r="H176" s="31" t="s">
        <v>311</v>
      </c>
      <c r="I176" s="31" t="s">
        <v>421</v>
      </c>
      <c r="J176" s="31" t="s">
        <v>311</v>
      </c>
      <c r="K176" s="31" t="s">
        <v>311</v>
      </c>
      <c r="L176" s="31" t="s">
        <v>311</v>
      </c>
      <c r="M176" s="31" t="s">
        <v>311</v>
      </c>
    </row>
    <row r="177" customFormat="false" ht="15" hidden="false" customHeight="true" outlineLevel="0" collapsed="false">
      <c r="A177" s="30" t="s">
        <v>157</v>
      </c>
      <c r="B177" s="31" t="s">
        <v>319</v>
      </c>
      <c r="C177" s="31" t="s">
        <v>289</v>
      </c>
      <c r="D177" s="7" t="n">
        <v>191000</v>
      </c>
      <c r="E177" s="31" t="s">
        <v>290</v>
      </c>
      <c r="F177" s="30" t="s">
        <v>320</v>
      </c>
      <c r="G177" s="31" t="s">
        <v>728</v>
      </c>
      <c r="H177" s="31" t="s">
        <v>311</v>
      </c>
      <c r="I177" s="31" t="s">
        <v>421</v>
      </c>
      <c r="J177" s="30" t="s">
        <v>322</v>
      </c>
      <c r="K177" s="31" t="s">
        <v>729</v>
      </c>
      <c r="L177" s="30" t="s">
        <v>331</v>
      </c>
      <c r="M177" s="31" t="n">
        <v>21818217</v>
      </c>
    </row>
    <row r="178" customFormat="false" ht="15" hidden="false" customHeight="true" outlineLevel="0" collapsed="false">
      <c r="A178" s="30" t="s">
        <v>144</v>
      </c>
      <c r="B178" s="31" t="s">
        <v>730</v>
      </c>
      <c r="C178" s="31" t="s">
        <v>289</v>
      </c>
      <c r="D178" s="7" t="n">
        <v>191000</v>
      </c>
      <c r="E178" s="31" t="s">
        <v>290</v>
      </c>
      <c r="F178" s="30" t="s">
        <v>320</v>
      </c>
      <c r="G178" s="31" t="s">
        <v>731</v>
      </c>
      <c r="H178" s="31" t="s">
        <v>311</v>
      </c>
      <c r="I178" s="31" t="s">
        <v>421</v>
      </c>
      <c r="J178" s="30" t="s">
        <v>322</v>
      </c>
      <c r="K178" s="31" t="s">
        <v>732</v>
      </c>
      <c r="L178" s="30" t="s">
        <v>373</v>
      </c>
      <c r="M178" s="31" t="n">
        <v>31514101</v>
      </c>
    </row>
    <row r="179" customFormat="false" ht="15" hidden="false" customHeight="true" outlineLevel="0" collapsed="false">
      <c r="A179" s="30" t="s">
        <v>85</v>
      </c>
      <c r="B179" s="31" t="s">
        <v>464</v>
      </c>
      <c r="C179" s="31" t="s">
        <v>289</v>
      </c>
      <c r="D179" s="7" t="n">
        <v>291000</v>
      </c>
      <c r="E179" s="31" t="s">
        <v>290</v>
      </c>
      <c r="F179" s="30" t="s">
        <v>309</v>
      </c>
      <c r="G179" s="31" t="s">
        <v>733</v>
      </c>
      <c r="H179" s="31" t="s">
        <v>311</v>
      </c>
      <c r="I179" s="31" t="s">
        <v>421</v>
      </c>
      <c r="J179" s="31" t="s">
        <v>311</v>
      </c>
      <c r="K179" s="31" t="s">
        <v>311</v>
      </c>
      <c r="L179" s="31" t="s">
        <v>311</v>
      </c>
      <c r="M179" s="31" t="s">
        <v>311</v>
      </c>
    </row>
    <row r="180" customFormat="false" ht="15" hidden="false" customHeight="true" outlineLevel="0" collapsed="false">
      <c r="A180" s="30" t="s">
        <v>85</v>
      </c>
      <c r="B180" s="31" t="s">
        <v>464</v>
      </c>
      <c r="C180" s="31" t="s">
        <v>289</v>
      </c>
      <c r="D180" s="31"/>
      <c r="E180" s="31" t="s">
        <v>290</v>
      </c>
      <c r="F180" s="30" t="s">
        <v>49</v>
      </c>
      <c r="G180" s="31" t="s">
        <v>734</v>
      </c>
      <c r="H180" s="31" t="s">
        <v>311</v>
      </c>
      <c r="I180" s="31" t="s">
        <v>290</v>
      </c>
      <c r="J180" s="31" t="s">
        <v>311</v>
      </c>
      <c r="K180" s="31" t="s">
        <v>311</v>
      </c>
      <c r="L180" s="31" t="s">
        <v>311</v>
      </c>
      <c r="M180" s="31" t="s">
        <v>311</v>
      </c>
    </row>
    <row r="181" customFormat="false" ht="15" hidden="false" customHeight="true" outlineLevel="0" collapsed="false">
      <c r="A181" s="30" t="s">
        <v>95</v>
      </c>
      <c r="B181" s="31" t="s">
        <v>735</v>
      </c>
      <c r="C181" s="31" t="s">
        <v>289</v>
      </c>
      <c r="D181" s="7" t="n">
        <v>291000</v>
      </c>
      <c r="E181" s="31" t="s">
        <v>290</v>
      </c>
      <c r="F181" s="30" t="s">
        <v>309</v>
      </c>
      <c r="G181" s="31" t="s">
        <v>736</v>
      </c>
      <c r="H181" s="31" t="s">
        <v>311</v>
      </c>
      <c r="I181" s="31" t="s">
        <v>421</v>
      </c>
      <c r="J181" s="31" t="s">
        <v>311</v>
      </c>
      <c r="K181" s="31" t="s">
        <v>311</v>
      </c>
      <c r="L181" s="31" t="s">
        <v>311</v>
      </c>
      <c r="M181" s="31" t="s">
        <v>311</v>
      </c>
    </row>
    <row r="182" customFormat="false" ht="15" hidden="false" customHeight="true" outlineLevel="0" collapsed="false">
      <c r="A182" s="30" t="s">
        <v>102</v>
      </c>
      <c r="B182" s="31" t="s">
        <v>315</v>
      </c>
      <c r="C182" s="31" t="s">
        <v>289</v>
      </c>
      <c r="D182" s="7" t="n">
        <v>191000</v>
      </c>
      <c r="E182" s="31" t="s">
        <v>290</v>
      </c>
      <c r="F182" s="30" t="s">
        <v>309</v>
      </c>
      <c r="G182" s="31" t="s">
        <v>737</v>
      </c>
      <c r="H182" s="31" t="s">
        <v>311</v>
      </c>
      <c r="I182" s="31" t="s">
        <v>421</v>
      </c>
      <c r="J182" s="31" t="s">
        <v>311</v>
      </c>
      <c r="K182" s="31" t="s">
        <v>311</v>
      </c>
      <c r="L182" s="31" t="s">
        <v>311</v>
      </c>
      <c r="M182" s="31" t="s">
        <v>311</v>
      </c>
    </row>
    <row r="183" customFormat="false" ht="15" hidden="false" customHeight="true" outlineLevel="0" collapsed="false">
      <c r="A183" s="30" t="s">
        <v>130</v>
      </c>
      <c r="B183" s="31" t="s">
        <v>317</v>
      </c>
      <c r="C183" s="31" t="s">
        <v>289</v>
      </c>
      <c r="D183" s="7" t="n">
        <v>201000</v>
      </c>
      <c r="E183" s="31" t="s">
        <v>290</v>
      </c>
      <c r="F183" s="30" t="s">
        <v>320</v>
      </c>
      <c r="G183" s="31" t="s">
        <v>738</v>
      </c>
      <c r="H183" s="31" t="s">
        <v>311</v>
      </c>
      <c r="I183" s="31" t="s">
        <v>421</v>
      </c>
      <c r="J183" s="30" t="s">
        <v>322</v>
      </c>
      <c r="K183" s="31" t="s">
        <v>739</v>
      </c>
      <c r="L183" s="30" t="s">
        <v>468</v>
      </c>
      <c r="M183" s="31" t="n">
        <v>30022489</v>
      </c>
    </row>
    <row r="184" customFormat="false" ht="15" hidden="false" customHeight="true" outlineLevel="0" collapsed="false">
      <c r="A184" s="30" t="s">
        <v>137</v>
      </c>
      <c r="B184" s="31" t="s">
        <v>740</v>
      </c>
      <c r="C184" s="31" t="s">
        <v>289</v>
      </c>
      <c r="D184" s="7" t="n">
        <v>191000</v>
      </c>
      <c r="E184" s="31" t="s">
        <v>290</v>
      </c>
      <c r="F184" s="30" t="s">
        <v>309</v>
      </c>
      <c r="G184" s="31" t="s">
        <v>741</v>
      </c>
      <c r="H184" s="31" t="s">
        <v>311</v>
      </c>
      <c r="I184" s="31" t="s">
        <v>421</v>
      </c>
      <c r="J184" s="31" t="s">
        <v>311</v>
      </c>
      <c r="K184" s="31" t="s">
        <v>311</v>
      </c>
      <c r="L184" s="31" t="s">
        <v>311</v>
      </c>
      <c r="M184" s="31" t="s">
        <v>311</v>
      </c>
    </row>
    <row r="185" customFormat="false" ht="15" hidden="false" customHeight="true" outlineLevel="0" collapsed="false">
      <c r="A185" s="30" t="s">
        <v>72</v>
      </c>
      <c r="B185" s="31" t="s">
        <v>313</v>
      </c>
      <c r="C185" s="31" t="s">
        <v>289</v>
      </c>
      <c r="D185" s="7" t="n">
        <v>201000</v>
      </c>
      <c r="E185" s="31" t="s">
        <v>290</v>
      </c>
      <c r="F185" s="30" t="s">
        <v>309</v>
      </c>
      <c r="G185" s="31" t="s">
        <v>742</v>
      </c>
      <c r="H185" s="31" t="s">
        <v>311</v>
      </c>
      <c r="I185" s="31" t="s">
        <v>421</v>
      </c>
      <c r="J185" s="31" t="s">
        <v>311</v>
      </c>
      <c r="K185" s="31" t="s">
        <v>311</v>
      </c>
      <c r="L185" s="31" t="s">
        <v>311</v>
      </c>
      <c r="M185" s="31" t="s">
        <v>311</v>
      </c>
    </row>
    <row r="186" customFormat="false" ht="15" hidden="false" customHeight="true" outlineLevel="0" collapsed="false">
      <c r="A186" s="30" t="s">
        <v>743</v>
      </c>
      <c r="B186" s="31" t="s">
        <v>425</v>
      </c>
      <c r="C186" s="31" t="s">
        <v>292</v>
      </c>
      <c r="D186" s="7" t="n">
        <v>100000</v>
      </c>
      <c r="E186" s="31" t="s">
        <v>293</v>
      </c>
      <c r="F186" s="30" t="s">
        <v>320</v>
      </c>
      <c r="G186" s="31" t="s">
        <v>744</v>
      </c>
      <c r="H186" s="31" t="s">
        <v>311</v>
      </c>
      <c r="I186" s="31" t="s">
        <v>745</v>
      </c>
      <c r="J186" s="30" t="s">
        <v>322</v>
      </c>
      <c r="K186" s="31" t="s">
        <v>746</v>
      </c>
      <c r="L186" s="30" t="s">
        <v>373</v>
      </c>
      <c r="M186" s="31" t="n">
        <v>19101110</v>
      </c>
    </row>
    <row r="187" customFormat="false" ht="15" hidden="false" customHeight="true" outlineLevel="0" collapsed="false">
      <c r="A187" s="30" t="s">
        <v>112</v>
      </c>
      <c r="B187" s="31" t="s">
        <v>583</v>
      </c>
      <c r="C187" s="31" t="s">
        <v>292</v>
      </c>
      <c r="D187" s="7" t="n">
        <v>140000</v>
      </c>
      <c r="E187" s="31" t="s">
        <v>293</v>
      </c>
      <c r="F187" s="30" t="s">
        <v>320</v>
      </c>
      <c r="G187" s="31" t="s">
        <v>747</v>
      </c>
      <c r="H187" s="31" t="s">
        <v>311</v>
      </c>
      <c r="I187" s="31" t="s">
        <v>745</v>
      </c>
      <c r="J187" s="30" t="s">
        <v>322</v>
      </c>
      <c r="K187" s="31" t="s">
        <v>748</v>
      </c>
      <c r="L187" s="30" t="s">
        <v>355</v>
      </c>
      <c r="M187" s="31" t="n">
        <v>51688966</v>
      </c>
    </row>
    <row r="188" customFormat="false" ht="15" hidden="false" customHeight="true" outlineLevel="0" collapsed="false">
      <c r="A188" s="30" t="s">
        <v>749</v>
      </c>
      <c r="B188" s="31" t="s">
        <v>499</v>
      </c>
      <c r="C188" s="31" t="s">
        <v>292</v>
      </c>
      <c r="D188" s="7" t="n">
        <v>195000</v>
      </c>
      <c r="E188" s="31" t="s">
        <v>293</v>
      </c>
      <c r="F188" s="30" t="s">
        <v>320</v>
      </c>
      <c r="G188" s="31" t="s">
        <v>750</v>
      </c>
      <c r="H188" s="31" t="s">
        <v>311</v>
      </c>
      <c r="I188" s="31" t="s">
        <v>745</v>
      </c>
      <c r="J188" s="30" t="s">
        <v>322</v>
      </c>
      <c r="K188" s="31" t="s">
        <v>751</v>
      </c>
      <c r="L188" s="30" t="s">
        <v>324</v>
      </c>
      <c r="M188" s="31" t="s">
        <v>752</v>
      </c>
    </row>
    <row r="189" customFormat="false" ht="15" hidden="false" customHeight="true" outlineLevel="0" collapsed="false">
      <c r="A189" s="30" t="s">
        <v>142</v>
      </c>
      <c r="B189" s="31" t="s">
        <v>715</v>
      </c>
      <c r="C189" s="31" t="s">
        <v>292</v>
      </c>
      <c r="D189" s="7" t="n">
        <v>45000</v>
      </c>
      <c r="E189" s="31" t="s">
        <v>293</v>
      </c>
      <c r="F189" s="30" t="s">
        <v>320</v>
      </c>
      <c r="G189" s="31" t="s">
        <v>753</v>
      </c>
      <c r="H189" s="31" t="s">
        <v>311</v>
      </c>
      <c r="I189" s="31" t="s">
        <v>745</v>
      </c>
      <c r="J189" s="30" t="s">
        <v>322</v>
      </c>
      <c r="K189" s="31" t="s">
        <v>754</v>
      </c>
      <c r="L189" s="30" t="s">
        <v>355</v>
      </c>
      <c r="M189" s="31" t="n">
        <v>60590663</v>
      </c>
    </row>
    <row r="190" customFormat="false" ht="15" hidden="false" customHeight="true" outlineLevel="0" collapsed="false">
      <c r="A190" s="30" t="s">
        <v>62</v>
      </c>
      <c r="B190" s="31" t="s">
        <v>387</v>
      </c>
      <c r="C190" s="31" t="s">
        <v>292</v>
      </c>
      <c r="D190" s="7" t="n">
        <v>100000</v>
      </c>
      <c r="E190" s="31" t="s">
        <v>293</v>
      </c>
      <c r="F190" s="30" t="s">
        <v>49</v>
      </c>
      <c r="G190" s="31" t="s">
        <v>755</v>
      </c>
      <c r="H190" s="31" t="s">
        <v>311</v>
      </c>
      <c r="I190" s="31" t="s">
        <v>293</v>
      </c>
      <c r="J190" s="31" t="s">
        <v>311</v>
      </c>
      <c r="K190" s="31" t="s">
        <v>311</v>
      </c>
      <c r="L190" s="31" t="s">
        <v>311</v>
      </c>
      <c r="M190" s="31" t="s">
        <v>311</v>
      </c>
    </row>
    <row r="191" customFormat="false" ht="15" hidden="false" customHeight="true" outlineLevel="0" collapsed="false">
      <c r="A191" s="30" t="s">
        <v>111</v>
      </c>
      <c r="B191" s="31" t="s">
        <v>375</v>
      </c>
      <c r="C191" s="31" t="s">
        <v>292</v>
      </c>
      <c r="D191" s="7" t="n">
        <v>100000</v>
      </c>
      <c r="E191" s="31" t="s">
        <v>293</v>
      </c>
      <c r="F191" s="30" t="s">
        <v>320</v>
      </c>
      <c r="G191" s="31" t="s">
        <v>756</v>
      </c>
      <c r="H191" s="31" t="s">
        <v>311</v>
      </c>
      <c r="I191" s="31" t="s">
        <v>745</v>
      </c>
      <c r="J191" s="30" t="s">
        <v>322</v>
      </c>
      <c r="K191" s="31" t="s">
        <v>757</v>
      </c>
      <c r="L191" s="30" t="s">
        <v>355</v>
      </c>
      <c r="M191" s="31" t="n">
        <v>48164050</v>
      </c>
    </row>
    <row r="192" customFormat="false" ht="15" hidden="false" customHeight="true" outlineLevel="0" collapsed="false">
      <c r="A192" s="30" t="s">
        <v>97</v>
      </c>
      <c r="B192" s="31" t="s">
        <v>605</v>
      </c>
      <c r="C192" s="31" t="s">
        <v>292</v>
      </c>
      <c r="D192" s="7" t="n">
        <v>100000</v>
      </c>
      <c r="E192" s="31" t="s">
        <v>293</v>
      </c>
      <c r="F192" s="30" t="s">
        <v>320</v>
      </c>
      <c r="G192" s="31" t="s">
        <v>758</v>
      </c>
      <c r="H192" s="31" t="s">
        <v>311</v>
      </c>
      <c r="I192" s="31" t="s">
        <v>745</v>
      </c>
      <c r="J192" s="30" t="s">
        <v>322</v>
      </c>
      <c r="K192" s="31" t="s">
        <v>759</v>
      </c>
      <c r="L192" s="30" t="s">
        <v>324</v>
      </c>
      <c r="M192" s="31" t="s">
        <v>760</v>
      </c>
    </row>
    <row r="193" customFormat="false" ht="15" hidden="false" customHeight="true" outlineLevel="0" collapsed="false">
      <c r="A193" s="30" t="s">
        <v>145</v>
      </c>
      <c r="B193" s="31" t="s">
        <v>326</v>
      </c>
      <c r="C193" s="31" t="s">
        <v>292</v>
      </c>
      <c r="D193" s="7" t="n">
        <v>100000</v>
      </c>
      <c r="E193" s="31" t="s">
        <v>293</v>
      </c>
      <c r="F193" s="30" t="s">
        <v>320</v>
      </c>
      <c r="G193" s="31" t="s">
        <v>761</v>
      </c>
      <c r="H193" s="31" t="s">
        <v>311</v>
      </c>
      <c r="I193" s="31" t="s">
        <v>745</v>
      </c>
      <c r="J193" s="30" t="s">
        <v>322</v>
      </c>
      <c r="K193" s="31" t="s">
        <v>762</v>
      </c>
      <c r="L193" s="30" t="s">
        <v>324</v>
      </c>
      <c r="M193" s="31" t="s">
        <v>763</v>
      </c>
    </row>
    <row r="194" customFormat="false" ht="15" hidden="false" customHeight="true" outlineLevel="0" collapsed="false">
      <c r="A194" s="30" t="s">
        <v>139</v>
      </c>
      <c r="B194" s="31" t="s">
        <v>764</v>
      </c>
      <c r="C194" s="31" t="s">
        <v>292</v>
      </c>
      <c r="D194" s="7" t="n">
        <v>100000</v>
      </c>
      <c r="E194" s="31" t="s">
        <v>293</v>
      </c>
      <c r="F194" s="30" t="s">
        <v>320</v>
      </c>
      <c r="G194" s="31" t="s">
        <v>765</v>
      </c>
      <c r="H194" s="31" t="s">
        <v>311</v>
      </c>
      <c r="I194" s="31" t="s">
        <v>745</v>
      </c>
      <c r="J194" s="30" t="s">
        <v>322</v>
      </c>
      <c r="K194" s="31" t="s">
        <v>766</v>
      </c>
      <c r="L194" s="30" t="s">
        <v>373</v>
      </c>
      <c r="M194" s="31" t="n">
        <v>11900500</v>
      </c>
    </row>
    <row r="195" customFormat="false" ht="15" hidden="false" customHeight="true" outlineLevel="0" collapsed="false">
      <c r="A195" s="30" t="s">
        <v>50</v>
      </c>
      <c r="B195" s="31" t="s">
        <v>767</v>
      </c>
      <c r="C195" s="31" t="s">
        <v>292</v>
      </c>
      <c r="D195" s="7" t="n">
        <v>100000</v>
      </c>
      <c r="E195" s="31" t="s">
        <v>293</v>
      </c>
      <c r="F195" s="30" t="s">
        <v>309</v>
      </c>
      <c r="G195" s="31" t="s">
        <v>768</v>
      </c>
      <c r="H195" s="31" t="s">
        <v>311</v>
      </c>
      <c r="I195" s="31" t="s">
        <v>440</v>
      </c>
      <c r="J195" s="31" t="s">
        <v>311</v>
      </c>
      <c r="K195" s="31" t="s">
        <v>311</v>
      </c>
      <c r="L195" s="31" t="s">
        <v>311</v>
      </c>
      <c r="M195" s="31" t="s">
        <v>311</v>
      </c>
    </row>
    <row r="196" customFormat="false" ht="15" hidden="false" customHeight="true" outlineLevel="0" collapsed="false">
      <c r="A196" s="30" t="s">
        <v>274</v>
      </c>
      <c r="B196" s="31" t="s">
        <v>477</v>
      </c>
      <c r="C196" s="31" t="s">
        <v>292</v>
      </c>
      <c r="D196" s="7" t="n">
        <v>200000</v>
      </c>
      <c r="E196" s="31" t="s">
        <v>293</v>
      </c>
      <c r="F196" s="30" t="s">
        <v>320</v>
      </c>
      <c r="G196" s="31" t="s">
        <v>769</v>
      </c>
      <c r="H196" s="31" t="s">
        <v>311</v>
      </c>
      <c r="I196" s="31" t="s">
        <v>745</v>
      </c>
      <c r="J196" s="30" t="s">
        <v>322</v>
      </c>
      <c r="K196" s="31" t="s">
        <v>770</v>
      </c>
      <c r="L196" s="30" t="s">
        <v>383</v>
      </c>
      <c r="M196" s="31" t="n">
        <v>74047979</v>
      </c>
    </row>
    <row r="197" customFormat="false" ht="15" hidden="false" customHeight="true" outlineLevel="0" collapsed="false">
      <c r="A197" s="30" t="s">
        <v>148</v>
      </c>
      <c r="B197" s="31" t="s">
        <v>553</v>
      </c>
      <c r="C197" s="31" t="s">
        <v>292</v>
      </c>
      <c r="D197" s="7" t="n">
        <v>75000</v>
      </c>
      <c r="E197" s="31" t="s">
        <v>293</v>
      </c>
      <c r="F197" s="30" t="s">
        <v>320</v>
      </c>
      <c r="G197" s="31" t="s">
        <v>771</v>
      </c>
      <c r="H197" s="31" t="s">
        <v>311</v>
      </c>
      <c r="I197" s="31" t="s">
        <v>429</v>
      </c>
      <c r="J197" s="30" t="s">
        <v>322</v>
      </c>
      <c r="K197" s="31" t="s">
        <v>772</v>
      </c>
      <c r="L197" s="30" t="s">
        <v>549</v>
      </c>
      <c r="M197" s="31" t="n">
        <v>76622673</v>
      </c>
    </row>
    <row r="198" customFormat="false" ht="15" hidden="false" customHeight="true" outlineLevel="0" collapsed="false">
      <c r="A198" s="30" t="s">
        <v>116</v>
      </c>
      <c r="B198" s="31" t="s">
        <v>477</v>
      </c>
      <c r="C198" s="31" t="s">
        <v>292</v>
      </c>
      <c r="D198" s="7" t="n">
        <v>100000</v>
      </c>
      <c r="E198" s="31" t="s">
        <v>293</v>
      </c>
      <c r="F198" s="30" t="s">
        <v>320</v>
      </c>
      <c r="G198" s="31" t="s">
        <v>773</v>
      </c>
      <c r="H198" s="31" t="s">
        <v>311</v>
      </c>
      <c r="I198" s="31" t="s">
        <v>293</v>
      </c>
      <c r="J198" s="30" t="s">
        <v>322</v>
      </c>
      <c r="K198" s="31" t="s">
        <v>774</v>
      </c>
      <c r="L198" s="30" t="s">
        <v>383</v>
      </c>
      <c r="M198" s="31" t="n">
        <v>73793190</v>
      </c>
    </row>
    <row r="199" customFormat="false" ht="15" hidden="false" customHeight="true" outlineLevel="0" collapsed="false">
      <c r="A199" s="30" t="s">
        <v>143</v>
      </c>
      <c r="B199" s="31" t="s">
        <v>591</v>
      </c>
      <c r="C199" s="31" t="s">
        <v>292</v>
      </c>
      <c r="D199" s="7" t="n">
        <v>185000</v>
      </c>
      <c r="E199" s="31" t="s">
        <v>293</v>
      </c>
      <c r="F199" s="30" t="s">
        <v>320</v>
      </c>
      <c r="G199" s="31" t="s">
        <v>775</v>
      </c>
      <c r="H199" s="31" t="s">
        <v>311</v>
      </c>
      <c r="I199" s="31" t="s">
        <v>429</v>
      </c>
      <c r="J199" s="30" t="s">
        <v>322</v>
      </c>
      <c r="K199" s="31" t="s">
        <v>776</v>
      </c>
      <c r="L199" s="30" t="s">
        <v>324</v>
      </c>
      <c r="M199" s="31" t="s">
        <v>777</v>
      </c>
    </row>
    <row r="200" customFormat="false" ht="15" hidden="false" customHeight="true" outlineLevel="0" collapsed="false">
      <c r="A200" s="30" t="s">
        <v>778</v>
      </c>
      <c r="B200" s="31" t="s">
        <v>319</v>
      </c>
      <c r="C200" s="31" t="s">
        <v>292</v>
      </c>
      <c r="D200" s="7" t="n">
        <v>150000</v>
      </c>
      <c r="E200" s="31" t="s">
        <v>293</v>
      </c>
      <c r="F200" s="30" t="s">
        <v>320</v>
      </c>
      <c r="G200" s="31" t="s">
        <v>779</v>
      </c>
      <c r="H200" s="31" t="s">
        <v>311</v>
      </c>
      <c r="I200" s="31" t="s">
        <v>429</v>
      </c>
      <c r="J200" s="30" t="s">
        <v>322</v>
      </c>
      <c r="K200" s="31" t="s">
        <v>780</v>
      </c>
      <c r="L200" s="30" t="s">
        <v>324</v>
      </c>
      <c r="M200" s="31" t="s">
        <v>781</v>
      </c>
    </row>
    <row r="201" customFormat="false" ht="15" hidden="false" customHeight="true" outlineLevel="0" collapsed="false">
      <c r="A201" s="30" t="s">
        <v>782</v>
      </c>
      <c r="B201" s="31" t="s">
        <v>587</v>
      </c>
      <c r="C201" s="31" t="s">
        <v>292</v>
      </c>
      <c r="D201" s="7" t="n">
        <v>200000</v>
      </c>
      <c r="E201" s="31" t="s">
        <v>293</v>
      </c>
      <c r="F201" s="30" t="s">
        <v>320</v>
      </c>
      <c r="G201" s="31" t="s">
        <v>783</v>
      </c>
      <c r="H201" s="31" t="s">
        <v>311</v>
      </c>
      <c r="I201" s="31" t="s">
        <v>429</v>
      </c>
      <c r="J201" s="30" t="s">
        <v>322</v>
      </c>
      <c r="K201" s="31" t="s">
        <v>784</v>
      </c>
      <c r="L201" s="30" t="s">
        <v>383</v>
      </c>
      <c r="M201" s="31" t="n">
        <v>73705300</v>
      </c>
    </row>
    <row r="202" customFormat="false" ht="15" hidden="false" customHeight="true" outlineLevel="0" collapsed="false">
      <c r="A202" s="30" t="s">
        <v>785</v>
      </c>
      <c r="B202" s="31" t="s">
        <v>366</v>
      </c>
      <c r="C202" s="31" t="s">
        <v>292</v>
      </c>
      <c r="D202" s="7" t="n">
        <v>200000</v>
      </c>
      <c r="E202" s="31" t="s">
        <v>293</v>
      </c>
      <c r="F202" s="30" t="s">
        <v>309</v>
      </c>
      <c r="G202" s="31" t="s">
        <v>786</v>
      </c>
      <c r="H202" s="31" t="s">
        <v>311</v>
      </c>
      <c r="I202" s="31" t="s">
        <v>429</v>
      </c>
      <c r="J202" s="31" t="s">
        <v>311</v>
      </c>
      <c r="K202" s="31" t="s">
        <v>311</v>
      </c>
      <c r="L202" s="31" t="s">
        <v>311</v>
      </c>
      <c r="M202" s="31" t="s">
        <v>311</v>
      </c>
    </row>
    <row r="203" customFormat="false" ht="15" hidden="false" customHeight="true" outlineLevel="0" collapsed="false">
      <c r="A203" s="30" t="s">
        <v>787</v>
      </c>
      <c r="B203" s="31" t="s">
        <v>602</v>
      </c>
      <c r="C203" s="31" t="s">
        <v>292</v>
      </c>
      <c r="D203" s="7" t="n">
        <v>75000</v>
      </c>
      <c r="E203" s="31" t="s">
        <v>293</v>
      </c>
      <c r="F203" s="30" t="s">
        <v>309</v>
      </c>
      <c r="G203" s="31" t="s">
        <v>788</v>
      </c>
      <c r="H203" s="31" t="s">
        <v>311</v>
      </c>
      <c r="I203" s="31" t="s">
        <v>291</v>
      </c>
      <c r="J203" s="31" t="s">
        <v>311</v>
      </c>
      <c r="K203" s="31" t="s">
        <v>311</v>
      </c>
      <c r="L203" s="31" t="s">
        <v>311</v>
      </c>
      <c r="M203" s="31" t="s">
        <v>311</v>
      </c>
    </row>
    <row r="204" customFormat="false" ht="15" hidden="false" customHeight="true" outlineLevel="0" collapsed="false">
      <c r="A204" s="30" t="s">
        <v>212</v>
      </c>
      <c r="B204" s="31" t="s">
        <v>578</v>
      </c>
      <c r="C204" s="31" t="s">
        <v>292</v>
      </c>
      <c r="D204" s="7" t="n">
        <v>85000</v>
      </c>
      <c r="E204" s="31" t="s">
        <v>293</v>
      </c>
      <c r="F204" s="30" t="s">
        <v>309</v>
      </c>
      <c r="G204" s="31" t="s">
        <v>789</v>
      </c>
      <c r="H204" s="31" t="s">
        <v>311</v>
      </c>
      <c r="I204" s="31" t="s">
        <v>440</v>
      </c>
      <c r="J204" s="31" t="s">
        <v>311</v>
      </c>
      <c r="K204" s="31" t="s">
        <v>311</v>
      </c>
      <c r="L204" s="31" t="s">
        <v>311</v>
      </c>
      <c r="M204" s="31" t="s">
        <v>311</v>
      </c>
    </row>
    <row r="205" customFormat="false" ht="15" hidden="false" customHeight="true" outlineLevel="0" collapsed="false">
      <c r="A205" s="30" t="s">
        <v>154</v>
      </c>
      <c r="B205" s="31" t="s">
        <v>352</v>
      </c>
      <c r="C205" s="31" t="s">
        <v>292</v>
      </c>
      <c r="D205" s="7" t="n">
        <v>40000</v>
      </c>
      <c r="E205" s="31" t="s">
        <v>293</v>
      </c>
      <c r="F205" s="30" t="s">
        <v>320</v>
      </c>
      <c r="G205" s="31" t="s">
        <v>790</v>
      </c>
      <c r="H205" s="31" t="s">
        <v>311</v>
      </c>
      <c r="I205" s="31" t="s">
        <v>745</v>
      </c>
      <c r="J205" s="30" t="s">
        <v>322</v>
      </c>
      <c r="K205" s="31" t="s">
        <v>791</v>
      </c>
      <c r="L205" s="30" t="s">
        <v>355</v>
      </c>
      <c r="M205" s="31" t="n">
        <v>66168794</v>
      </c>
    </row>
    <row r="206" customFormat="false" ht="15" hidden="false" customHeight="true" outlineLevel="0" collapsed="false">
      <c r="A206" s="30" t="s">
        <v>98</v>
      </c>
      <c r="B206" s="31" t="s">
        <v>632</v>
      </c>
      <c r="C206" s="31" t="s">
        <v>292</v>
      </c>
      <c r="D206" s="7" t="n">
        <v>70000</v>
      </c>
      <c r="E206" s="31" t="s">
        <v>293</v>
      </c>
      <c r="F206" s="30" t="s">
        <v>320</v>
      </c>
      <c r="G206" s="31" t="s">
        <v>792</v>
      </c>
      <c r="H206" s="31" t="s">
        <v>311</v>
      </c>
      <c r="I206" s="31" t="s">
        <v>745</v>
      </c>
      <c r="J206" s="30" t="s">
        <v>322</v>
      </c>
      <c r="K206" s="31" t="s">
        <v>793</v>
      </c>
      <c r="L206" s="30" t="s">
        <v>392</v>
      </c>
      <c r="M206" s="31" t="n">
        <v>38426384</v>
      </c>
    </row>
    <row r="207" customFormat="false" ht="15" hidden="false" customHeight="true" outlineLevel="0" collapsed="false">
      <c r="A207" s="30" t="s">
        <v>100</v>
      </c>
      <c r="B207" s="31" t="s">
        <v>340</v>
      </c>
      <c r="C207" s="31" t="s">
        <v>292</v>
      </c>
      <c r="D207" s="7" t="n">
        <v>75000</v>
      </c>
      <c r="E207" s="31" t="s">
        <v>293</v>
      </c>
      <c r="F207" s="30" t="s">
        <v>320</v>
      </c>
      <c r="G207" s="31" t="s">
        <v>794</v>
      </c>
      <c r="H207" s="31" t="s">
        <v>311</v>
      </c>
      <c r="I207" s="31" t="s">
        <v>795</v>
      </c>
      <c r="J207" s="30" t="s">
        <v>322</v>
      </c>
      <c r="K207" s="31" t="s">
        <v>796</v>
      </c>
      <c r="L207" s="30" t="s">
        <v>355</v>
      </c>
      <c r="M207" s="31" t="n">
        <v>25893538</v>
      </c>
    </row>
    <row r="208" customFormat="false" ht="15" hidden="false" customHeight="true" outlineLevel="0" collapsed="false">
      <c r="A208" s="30" t="s">
        <v>797</v>
      </c>
      <c r="B208" s="31" t="s">
        <v>798</v>
      </c>
      <c r="C208" s="31" t="s">
        <v>292</v>
      </c>
      <c r="D208" s="7" t="n">
        <v>55000</v>
      </c>
      <c r="E208" s="31" t="s">
        <v>293</v>
      </c>
      <c r="F208" s="30" t="s">
        <v>320</v>
      </c>
      <c r="G208" s="31" t="s">
        <v>799</v>
      </c>
      <c r="H208" s="31" t="s">
        <v>311</v>
      </c>
      <c r="I208" s="31" t="s">
        <v>745</v>
      </c>
      <c r="J208" s="30" t="s">
        <v>322</v>
      </c>
      <c r="K208" s="31" t="s">
        <v>800</v>
      </c>
      <c r="L208" s="30" t="s">
        <v>324</v>
      </c>
      <c r="M208" s="31" t="s">
        <v>801</v>
      </c>
    </row>
    <row r="209" customFormat="false" ht="15" hidden="false" customHeight="true" outlineLevel="0" collapsed="false">
      <c r="A209" s="30" t="s">
        <v>155</v>
      </c>
      <c r="B209" s="31" t="s">
        <v>348</v>
      </c>
      <c r="C209" s="31" t="s">
        <v>292</v>
      </c>
      <c r="D209" s="7" t="n">
        <v>45000</v>
      </c>
      <c r="E209" s="31" t="s">
        <v>293</v>
      </c>
      <c r="F209" s="30" t="s">
        <v>320</v>
      </c>
      <c r="G209" s="31" t="s">
        <v>802</v>
      </c>
      <c r="H209" s="31" t="s">
        <v>311</v>
      </c>
      <c r="I209" s="31" t="s">
        <v>745</v>
      </c>
      <c r="J209" s="30" t="s">
        <v>322</v>
      </c>
      <c r="K209" s="31" t="s">
        <v>803</v>
      </c>
      <c r="L209" s="30" t="s">
        <v>324</v>
      </c>
      <c r="M209" s="31" t="s">
        <v>804</v>
      </c>
    </row>
    <row r="210" customFormat="false" ht="15" hidden="false" customHeight="true" outlineLevel="0" collapsed="false">
      <c r="A210" s="30" t="s">
        <v>143</v>
      </c>
      <c r="B210" s="31" t="s">
        <v>591</v>
      </c>
      <c r="C210" s="31" t="s">
        <v>292</v>
      </c>
      <c r="D210" s="7" t="n">
        <v>45000</v>
      </c>
      <c r="E210" s="31" t="s">
        <v>293</v>
      </c>
      <c r="F210" s="30" t="s">
        <v>49</v>
      </c>
      <c r="G210" s="31" t="s">
        <v>805</v>
      </c>
      <c r="H210" s="31" t="s">
        <v>311</v>
      </c>
      <c r="I210" s="31" t="s">
        <v>293</v>
      </c>
      <c r="J210" s="31" t="s">
        <v>311</v>
      </c>
      <c r="K210" s="31" t="s">
        <v>311</v>
      </c>
      <c r="L210" s="31" t="s">
        <v>311</v>
      </c>
      <c r="M210" s="31" t="s">
        <v>311</v>
      </c>
    </row>
    <row r="211" customFormat="false" ht="15" hidden="false" customHeight="true" outlineLevel="0" collapsed="false">
      <c r="A211" s="30" t="s">
        <v>157</v>
      </c>
      <c r="B211" s="31" t="s">
        <v>319</v>
      </c>
      <c r="C211" s="31" t="s">
        <v>292</v>
      </c>
      <c r="D211" s="7" t="n">
        <v>30000</v>
      </c>
      <c r="E211" s="31" t="s">
        <v>293</v>
      </c>
      <c r="F211" s="30" t="s">
        <v>49</v>
      </c>
      <c r="G211" s="31" t="s">
        <v>806</v>
      </c>
      <c r="H211" s="31" t="s">
        <v>311</v>
      </c>
      <c r="I211" s="31" t="s">
        <v>293</v>
      </c>
      <c r="J211" s="31" t="s">
        <v>311</v>
      </c>
      <c r="K211" s="31" t="s">
        <v>311</v>
      </c>
      <c r="L211" s="31" t="s">
        <v>311</v>
      </c>
      <c r="M211" s="31" t="s">
        <v>311</v>
      </c>
    </row>
    <row r="212" customFormat="false" ht="15" hidden="false" customHeight="true" outlineLevel="0" collapsed="false">
      <c r="A212" s="30" t="s">
        <v>102</v>
      </c>
      <c r="B212" s="31" t="s">
        <v>807</v>
      </c>
      <c r="C212" s="31" t="s">
        <v>292</v>
      </c>
      <c r="D212" s="7" t="n">
        <v>100000</v>
      </c>
      <c r="E212" s="31" t="s">
        <v>293</v>
      </c>
      <c r="F212" s="30" t="s">
        <v>320</v>
      </c>
      <c r="G212" s="31" t="s">
        <v>808</v>
      </c>
      <c r="H212" s="31" t="s">
        <v>311</v>
      </c>
      <c r="I212" s="31" t="s">
        <v>291</v>
      </c>
      <c r="J212" s="30" t="s">
        <v>322</v>
      </c>
      <c r="K212" s="31" t="s">
        <v>809</v>
      </c>
      <c r="L212" s="30" t="s">
        <v>324</v>
      </c>
      <c r="M212" s="31" t="s">
        <v>810</v>
      </c>
    </row>
    <row r="213" customFormat="false" ht="15" hidden="false" customHeight="true" outlineLevel="0" collapsed="false">
      <c r="A213" s="30" t="s">
        <v>156</v>
      </c>
      <c r="B213" s="31" t="s">
        <v>587</v>
      </c>
      <c r="C213" s="31" t="s">
        <v>292</v>
      </c>
      <c r="D213" s="7" t="n">
        <v>100000</v>
      </c>
      <c r="E213" s="31" t="s">
        <v>293</v>
      </c>
      <c r="F213" s="30" t="s">
        <v>320</v>
      </c>
      <c r="G213" s="31" t="s">
        <v>811</v>
      </c>
      <c r="H213" s="31" t="s">
        <v>311</v>
      </c>
      <c r="I213" s="31" t="s">
        <v>291</v>
      </c>
      <c r="J213" s="30" t="s">
        <v>322</v>
      </c>
      <c r="K213" s="31" t="s">
        <v>812</v>
      </c>
      <c r="L213" s="30" t="s">
        <v>383</v>
      </c>
      <c r="M213" s="31" t="n">
        <v>74461791</v>
      </c>
    </row>
    <row r="214" customFormat="false" ht="15" hidden="false" customHeight="true" outlineLevel="0" collapsed="false">
      <c r="A214" s="30" t="s">
        <v>56</v>
      </c>
      <c r="B214" s="31" t="s">
        <v>366</v>
      </c>
      <c r="C214" s="31" t="s">
        <v>292</v>
      </c>
      <c r="D214" s="7" t="n">
        <v>100000</v>
      </c>
      <c r="E214" s="31" t="s">
        <v>293</v>
      </c>
      <c r="F214" s="30" t="s">
        <v>49</v>
      </c>
      <c r="G214" s="31" t="s">
        <v>813</v>
      </c>
      <c r="H214" s="31" t="s">
        <v>311</v>
      </c>
      <c r="I214" s="31" t="s">
        <v>293</v>
      </c>
      <c r="J214" s="31" t="s">
        <v>311</v>
      </c>
      <c r="K214" s="31" t="s">
        <v>311</v>
      </c>
      <c r="L214" s="31" t="s">
        <v>311</v>
      </c>
      <c r="M214" s="31" t="s">
        <v>311</v>
      </c>
    </row>
    <row r="215" customFormat="false" ht="15" hidden="false" customHeight="true" outlineLevel="0" collapsed="false">
      <c r="A215" s="30" t="s">
        <v>133</v>
      </c>
      <c r="B215" s="31" t="s">
        <v>814</v>
      </c>
      <c r="C215" s="31" t="s">
        <v>292</v>
      </c>
      <c r="D215" s="7" t="n">
        <v>100000</v>
      </c>
      <c r="E215" s="31" t="s">
        <v>293</v>
      </c>
      <c r="F215" s="30" t="s">
        <v>49</v>
      </c>
      <c r="G215" s="31" t="s">
        <v>815</v>
      </c>
      <c r="H215" s="31" t="s">
        <v>311</v>
      </c>
      <c r="I215" s="31" t="s">
        <v>293</v>
      </c>
      <c r="J215" s="31" t="s">
        <v>311</v>
      </c>
      <c r="K215" s="31" t="s">
        <v>311</v>
      </c>
      <c r="L215" s="31" t="s">
        <v>311</v>
      </c>
      <c r="M215" s="31" t="s">
        <v>311</v>
      </c>
    </row>
    <row r="216" customFormat="false" ht="15" hidden="false" customHeight="true" outlineLevel="0" collapsed="false">
      <c r="A216" s="30" t="s">
        <v>159</v>
      </c>
      <c r="B216" s="31" t="s">
        <v>395</v>
      </c>
      <c r="C216" s="31" t="s">
        <v>292</v>
      </c>
      <c r="D216" s="7" t="n">
        <v>100000</v>
      </c>
      <c r="E216" s="31" t="s">
        <v>293</v>
      </c>
      <c r="F216" s="30" t="s">
        <v>320</v>
      </c>
      <c r="G216" s="31" t="s">
        <v>816</v>
      </c>
      <c r="H216" s="31" t="s">
        <v>311</v>
      </c>
      <c r="I216" s="31" t="s">
        <v>291</v>
      </c>
      <c r="J216" s="30" t="s">
        <v>322</v>
      </c>
      <c r="K216" s="31" t="s">
        <v>817</v>
      </c>
      <c r="L216" s="30" t="s">
        <v>373</v>
      </c>
      <c r="M216" s="31" t="n">
        <v>17517102</v>
      </c>
    </row>
    <row r="217" customFormat="false" ht="15" hidden="false" customHeight="true" outlineLevel="0" collapsed="false">
      <c r="A217" s="30" t="s">
        <v>207</v>
      </c>
      <c r="B217" s="31" t="s">
        <v>405</v>
      </c>
      <c r="C217" s="31" t="s">
        <v>292</v>
      </c>
      <c r="D217" s="7" t="n">
        <v>100000</v>
      </c>
      <c r="E217" s="31" t="s">
        <v>293</v>
      </c>
      <c r="F217" s="30" t="s">
        <v>49</v>
      </c>
      <c r="G217" s="31" t="s">
        <v>818</v>
      </c>
      <c r="H217" s="31" t="s">
        <v>311</v>
      </c>
      <c r="I217" s="31" t="s">
        <v>293</v>
      </c>
      <c r="J217" s="31" t="s">
        <v>311</v>
      </c>
      <c r="K217" s="31" t="s">
        <v>311</v>
      </c>
      <c r="L217" s="31" t="s">
        <v>311</v>
      </c>
      <c r="M217" s="31" t="s">
        <v>311</v>
      </c>
    </row>
    <row r="218" customFormat="false" ht="15" hidden="false" customHeight="true" outlineLevel="0" collapsed="false">
      <c r="A218" s="30" t="s">
        <v>105</v>
      </c>
      <c r="B218" s="31" t="s">
        <v>364</v>
      </c>
      <c r="C218" s="31" t="s">
        <v>292</v>
      </c>
      <c r="D218" s="7" t="n">
        <v>100000</v>
      </c>
      <c r="E218" s="31" t="s">
        <v>293</v>
      </c>
      <c r="F218" s="30" t="s">
        <v>320</v>
      </c>
      <c r="G218" s="31" t="s">
        <v>819</v>
      </c>
      <c r="H218" s="31" t="s">
        <v>311</v>
      </c>
      <c r="I218" s="31" t="s">
        <v>291</v>
      </c>
      <c r="J218" s="30" t="s">
        <v>322</v>
      </c>
      <c r="K218" s="31" t="s">
        <v>820</v>
      </c>
      <c r="L218" s="30" t="s">
        <v>392</v>
      </c>
      <c r="M218" s="31" t="n">
        <v>33724166</v>
      </c>
    </row>
    <row r="219" customFormat="false" ht="15" hidden="false" customHeight="true" outlineLevel="0" collapsed="false">
      <c r="A219" s="30" t="s">
        <v>118</v>
      </c>
      <c r="B219" s="31" t="s">
        <v>602</v>
      </c>
      <c r="C219" s="31" t="s">
        <v>292</v>
      </c>
      <c r="D219" s="7" t="n">
        <v>30000</v>
      </c>
      <c r="E219" s="31" t="s">
        <v>293</v>
      </c>
      <c r="F219" s="30" t="s">
        <v>49</v>
      </c>
      <c r="G219" s="31" t="s">
        <v>821</v>
      </c>
      <c r="H219" s="31" t="s">
        <v>311</v>
      </c>
      <c r="I219" s="31" t="s">
        <v>293</v>
      </c>
      <c r="J219" s="31" t="s">
        <v>311</v>
      </c>
      <c r="K219" s="31" t="s">
        <v>311</v>
      </c>
      <c r="L219" s="31" t="s">
        <v>311</v>
      </c>
      <c r="M219" s="31" t="s">
        <v>311</v>
      </c>
    </row>
    <row r="220" customFormat="false" ht="15" hidden="false" customHeight="true" outlineLevel="0" collapsed="false">
      <c r="A220" s="30" t="s">
        <v>150</v>
      </c>
      <c r="B220" s="31" t="s">
        <v>444</v>
      </c>
      <c r="C220" s="31" t="s">
        <v>292</v>
      </c>
      <c r="D220" s="7" t="n">
        <v>100000</v>
      </c>
      <c r="E220" s="31" t="s">
        <v>293</v>
      </c>
      <c r="F220" s="30" t="s">
        <v>320</v>
      </c>
      <c r="G220" s="31" t="s">
        <v>822</v>
      </c>
      <c r="H220" s="31" t="s">
        <v>311</v>
      </c>
      <c r="I220" s="31" t="s">
        <v>291</v>
      </c>
      <c r="J220" s="30" t="s">
        <v>322</v>
      </c>
      <c r="K220" s="31" t="s">
        <v>823</v>
      </c>
      <c r="L220" s="30" t="s">
        <v>383</v>
      </c>
      <c r="M220" s="31" t="n">
        <v>73493591</v>
      </c>
    </row>
    <row r="221" customFormat="false" ht="15" hidden="false" customHeight="true" outlineLevel="0" collapsed="false">
      <c r="A221" s="30" t="s">
        <v>208</v>
      </c>
      <c r="B221" s="31" t="s">
        <v>328</v>
      </c>
      <c r="C221" s="31" t="s">
        <v>292</v>
      </c>
      <c r="D221" s="7" t="n">
        <v>100000</v>
      </c>
      <c r="E221" s="31" t="s">
        <v>293</v>
      </c>
      <c r="F221" s="30" t="s">
        <v>320</v>
      </c>
      <c r="G221" s="31" t="s">
        <v>824</v>
      </c>
      <c r="H221" s="31" t="s">
        <v>311</v>
      </c>
      <c r="I221" s="31" t="s">
        <v>291</v>
      </c>
      <c r="J221" s="30" t="s">
        <v>322</v>
      </c>
      <c r="K221" s="31" t="s">
        <v>825</v>
      </c>
      <c r="L221" s="30" t="s">
        <v>331</v>
      </c>
      <c r="M221" s="31" t="n">
        <v>18225074</v>
      </c>
    </row>
    <row r="222" customFormat="false" ht="15" hidden="false" customHeight="true" outlineLevel="0" collapsed="false">
      <c r="A222" s="30" t="s">
        <v>87</v>
      </c>
      <c r="B222" s="31" t="s">
        <v>565</v>
      </c>
      <c r="C222" s="31" t="s">
        <v>292</v>
      </c>
      <c r="D222" s="7" t="n">
        <v>100000</v>
      </c>
      <c r="E222" s="31" t="s">
        <v>293</v>
      </c>
      <c r="F222" s="30" t="s">
        <v>309</v>
      </c>
      <c r="G222" s="31" t="s">
        <v>826</v>
      </c>
      <c r="H222" s="31" t="s">
        <v>311</v>
      </c>
      <c r="I222" s="31" t="s">
        <v>291</v>
      </c>
      <c r="J222" s="31" t="s">
        <v>311</v>
      </c>
      <c r="K222" s="31" t="s">
        <v>311</v>
      </c>
      <c r="L222" s="31" t="s">
        <v>311</v>
      </c>
      <c r="M222" s="31" t="s">
        <v>311</v>
      </c>
    </row>
    <row r="223" customFormat="false" ht="15" hidden="false" customHeight="true" outlineLevel="0" collapsed="false">
      <c r="A223" s="30" t="s">
        <v>101</v>
      </c>
      <c r="B223" s="31" t="s">
        <v>798</v>
      </c>
      <c r="C223" s="31" t="s">
        <v>292</v>
      </c>
      <c r="D223" s="7" t="n">
        <v>45000</v>
      </c>
      <c r="E223" s="31" t="s">
        <v>827</v>
      </c>
      <c r="F223" s="30" t="s">
        <v>320</v>
      </c>
      <c r="G223" s="31" t="s">
        <v>828</v>
      </c>
      <c r="H223" s="31" t="s">
        <v>311</v>
      </c>
      <c r="I223" s="31" t="s">
        <v>745</v>
      </c>
      <c r="J223" s="30" t="s">
        <v>322</v>
      </c>
      <c r="K223" s="31" t="s">
        <v>829</v>
      </c>
      <c r="L223" s="30" t="s">
        <v>324</v>
      </c>
      <c r="M223" s="31" t="s">
        <v>830</v>
      </c>
    </row>
    <row r="224" customFormat="false" ht="15" hidden="false" customHeight="true" outlineLevel="0" collapsed="false">
      <c r="A224" s="30" t="s">
        <v>133</v>
      </c>
      <c r="B224" s="31" t="s">
        <v>814</v>
      </c>
      <c r="C224" s="31" t="s">
        <v>292</v>
      </c>
      <c r="D224" s="7" t="n">
        <v>100000</v>
      </c>
      <c r="E224" s="31" t="s">
        <v>827</v>
      </c>
      <c r="F224" s="30" t="s">
        <v>320</v>
      </c>
      <c r="G224" s="31" t="s">
        <v>831</v>
      </c>
      <c r="H224" s="31" t="s">
        <v>311</v>
      </c>
      <c r="I224" s="31" t="s">
        <v>745</v>
      </c>
      <c r="J224" s="30" t="s">
        <v>322</v>
      </c>
      <c r="K224" s="31" t="s">
        <v>832</v>
      </c>
      <c r="L224" s="30" t="s">
        <v>355</v>
      </c>
      <c r="M224" s="31" t="n">
        <v>65248319</v>
      </c>
    </row>
    <row r="225" customFormat="false" ht="15" hidden="false" customHeight="true" outlineLevel="0" collapsed="false">
      <c r="A225" s="30" t="s">
        <v>207</v>
      </c>
      <c r="B225" s="31" t="s">
        <v>405</v>
      </c>
      <c r="C225" s="31" t="s">
        <v>292</v>
      </c>
      <c r="D225" s="7" t="n">
        <v>100000</v>
      </c>
      <c r="E225" s="31" t="s">
        <v>827</v>
      </c>
      <c r="F225" s="30" t="s">
        <v>320</v>
      </c>
      <c r="G225" s="31" t="s">
        <v>833</v>
      </c>
      <c r="H225" s="31" t="s">
        <v>311</v>
      </c>
      <c r="I225" s="31" t="s">
        <v>293</v>
      </c>
      <c r="J225" s="30" t="s">
        <v>322</v>
      </c>
      <c r="K225" s="31" t="s">
        <v>834</v>
      </c>
      <c r="L225" s="30" t="s">
        <v>383</v>
      </c>
      <c r="M225" s="31" t="n">
        <v>76179531</v>
      </c>
    </row>
    <row r="226" customFormat="false" ht="15" hidden="false" customHeight="true" outlineLevel="0" collapsed="false">
      <c r="A226" s="30" t="s">
        <v>69</v>
      </c>
      <c r="B226" s="31" t="s">
        <v>360</v>
      </c>
      <c r="C226" s="31" t="s">
        <v>292</v>
      </c>
      <c r="D226" s="7" t="n">
        <v>100000</v>
      </c>
      <c r="E226" s="31" t="s">
        <v>827</v>
      </c>
      <c r="F226" s="30" t="s">
        <v>309</v>
      </c>
      <c r="G226" s="31" t="s">
        <v>835</v>
      </c>
      <c r="H226" s="31" t="s">
        <v>311</v>
      </c>
      <c r="I226" s="31" t="s">
        <v>440</v>
      </c>
      <c r="J226" s="31" t="s">
        <v>311</v>
      </c>
      <c r="K226" s="31" t="s">
        <v>311</v>
      </c>
      <c r="L226" s="31" t="s">
        <v>311</v>
      </c>
      <c r="M226" s="31" t="s">
        <v>311</v>
      </c>
    </row>
    <row r="227" customFormat="false" ht="15" hidden="false" customHeight="true" outlineLevel="0" collapsed="false">
      <c r="A227" s="30" t="s">
        <v>63</v>
      </c>
      <c r="B227" s="31" t="s">
        <v>497</v>
      </c>
      <c r="C227" s="31" t="s">
        <v>292</v>
      </c>
      <c r="D227" s="7" t="n">
        <v>100000</v>
      </c>
      <c r="E227" s="31" t="s">
        <v>294</v>
      </c>
      <c r="F227" s="30" t="s">
        <v>309</v>
      </c>
      <c r="G227" s="31" t="s">
        <v>836</v>
      </c>
      <c r="H227" s="31" t="s">
        <v>311</v>
      </c>
      <c r="I227" s="31" t="s">
        <v>440</v>
      </c>
      <c r="J227" s="31" t="s">
        <v>311</v>
      </c>
      <c r="K227" s="31" t="s">
        <v>311</v>
      </c>
      <c r="L227" s="31" t="s">
        <v>311</v>
      </c>
      <c r="M227" s="31" t="s">
        <v>311</v>
      </c>
    </row>
    <row r="228" customFormat="false" ht="15" hidden="false" customHeight="true" outlineLevel="0" collapsed="false">
      <c r="A228" s="30" t="s">
        <v>66</v>
      </c>
      <c r="B228" s="31" t="s">
        <v>578</v>
      </c>
      <c r="C228" s="31" t="s">
        <v>292</v>
      </c>
      <c r="D228" s="7" t="n">
        <v>45000</v>
      </c>
      <c r="E228" s="31" t="s">
        <v>294</v>
      </c>
      <c r="F228" s="30" t="s">
        <v>49</v>
      </c>
      <c r="G228" s="31" t="s">
        <v>837</v>
      </c>
      <c r="H228" s="31" t="s">
        <v>311</v>
      </c>
      <c r="I228" s="31" t="s">
        <v>293</v>
      </c>
      <c r="J228" s="31" t="s">
        <v>311</v>
      </c>
      <c r="K228" s="31" t="s">
        <v>311</v>
      </c>
      <c r="L228" s="31" t="s">
        <v>311</v>
      </c>
      <c r="M228" s="31" t="s">
        <v>311</v>
      </c>
    </row>
    <row r="229" customFormat="false" ht="15" hidden="false" customHeight="true" outlineLevel="0" collapsed="false">
      <c r="A229" s="30" t="s">
        <v>99</v>
      </c>
      <c r="B229" s="31" t="s">
        <v>673</v>
      </c>
      <c r="C229" s="31" t="s">
        <v>292</v>
      </c>
      <c r="D229" s="7" t="n">
        <v>45000</v>
      </c>
      <c r="E229" s="31" t="s">
        <v>294</v>
      </c>
      <c r="F229" s="30" t="s">
        <v>320</v>
      </c>
      <c r="G229" s="31" t="s">
        <v>838</v>
      </c>
      <c r="H229" s="31" t="s">
        <v>311</v>
      </c>
      <c r="I229" s="31" t="s">
        <v>293</v>
      </c>
      <c r="J229" s="30" t="s">
        <v>322</v>
      </c>
      <c r="K229" s="31" t="s">
        <v>839</v>
      </c>
      <c r="L229" s="30" t="s">
        <v>355</v>
      </c>
      <c r="M229" s="31" t="n">
        <v>22146772</v>
      </c>
    </row>
    <row r="230" customFormat="false" ht="15" hidden="false" customHeight="true" outlineLevel="0" collapsed="false">
      <c r="A230" s="30" t="s">
        <v>99</v>
      </c>
      <c r="B230" s="31" t="s">
        <v>673</v>
      </c>
      <c r="C230" s="31" t="s">
        <v>292</v>
      </c>
      <c r="D230" s="7" t="n">
        <v>100000</v>
      </c>
      <c r="E230" s="31" t="s">
        <v>294</v>
      </c>
      <c r="F230" s="30" t="s">
        <v>49</v>
      </c>
      <c r="G230" s="31" t="s">
        <v>840</v>
      </c>
      <c r="H230" s="31" t="s">
        <v>311</v>
      </c>
      <c r="I230" s="31" t="s">
        <v>294</v>
      </c>
      <c r="J230" s="31" t="s">
        <v>311</v>
      </c>
      <c r="K230" s="31" t="s">
        <v>311</v>
      </c>
      <c r="L230" s="31" t="s">
        <v>311</v>
      </c>
      <c r="M230" s="31" t="s">
        <v>311</v>
      </c>
    </row>
    <row r="231" customFormat="false" ht="15" hidden="false" customHeight="true" outlineLevel="0" collapsed="false">
      <c r="A231" s="30" t="s">
        <v>95</v>
      </c>
      <c r="B231" s="31" t="s">
        <v>735</v>
      </c>
      <c r="C231" s="31" t="s">
        <v>292</v>
      </c>
      <c r="D231" s="7" t="n">
        <v>100000</v>
      </c>
      <c r="E231" s="31" t="s">
        <v>294</v>
      </c>
      <c r="F231" s="30" t="s">
        <v>320</v>
      </c>
      <c r="G231" s="31" t="s">
        <v>841</v>
      </c>
      <c r="H231" s="31" t="s">
        <v>311</v>
      </c>
      <c r="I231" s="31" t="s">
        <v>293</v>
      </c>
      <c r="J231" s="30" t="s">
        <v>322</v>
      </c>
      <c r="K231" s="31" t="s">
        <v>842</v>
      </c>
      <c r="L231" s="30" t="s">
        <v>331</v>
      </c>
      <c r="M231" s="31" t="n">
        <v>44416825</v>
      </c>
    </row>
    <row r="232" customFormat="false" ht="15" hidden="false" customHeight="true" outlineLevel="0" collapsed="false">
      <c r="A232" s="30" t="s">
        <v>50</v>
      </c>
      <c r="B232" s="31" t="s">
        <v>527</v>
      </c>
      <c r="C232" s="31" t="s">
        <v>292</v>
      </c>
      <c r="D232" s="7" t="n">
        <v>100000</v>
      </c>
      <c r="E232" s="31" t="s">
        <v>294</v>
      </c>
      <c r="F232" s="30" t="s">
        <v>49</v>
      </c>
      <c r="G232" s="31" t="s">
        <v>843</v>
      </c>
      <c r="H232" s="31" t="s">
        <v>311</v>
      </c>
      <c r="I232" s="31" t="s">
        <v>294</v>
      </c>
      <c r="J232" s="31" t="s">
        <v>311</v>
      </c>
      <c r="K232" s="31" t="s">
        <v>311</v>
      </c>
      <c r="L232" s="31" t="s">
        <v>311</v>
      </c>
      <c r="M232" s="31" t="s">
        <v>311</v>
      </c>
    </row>
    <row r="233" customFormat="false" ht="15" hidden="false" customHeight="true" outlineLevel="0" collapsed="false">
      <c r="A233" s="30" t="s">
        <v>844</v>
      </c>
      <c r="B233" s="31" t="s">
        <v>658</v>
      </c>
      <c r="C233" s="30" t="s">
        <v>845</v>
      </c>
      <c r="D233" s="7" t="n">
        <v>154000</v>
      </c>
      <c r="E233" s="31" t="s">
        <v>846</v>
      </c>
      <c r="F233" s="30" t="s">
        <v>309</v>
      </c>
      <c r="G233" s="31" t="s">
        <v>847</v>
      </c>
      <c r="H233" s="31" t="s">
        <v>311</v>
      </c>
      <c r="I233" s="31" t="s">
        <v>440</v>
      </c>
      <c r="J233" s="31" t="s">
        <v>311</v>
      </c>
      <c r="K233" s="31" t="s">
        <v>311</v>
      </c>
      <c r="L233" s="31" t="s">
        <v>311</v>
      </c>
      <c r="M233" s="31" t="s">
        <v>311</v>
      </c>
    </row>
    <row r="234" customFormat="false" ht="15" hidden="false" customHeight="true" outlineLevel="0" collapsed="false">
      <c r="A234" s="30" t="s">
        <v>848</v>
      </c>
      <c r="B234" s="31" t="s">
        <v>527</v>
      </c>
      <c r="C234" s="30" t="s">
        <v>845</v>
      </c>
      <c r="D234" s="7" t="n">
        <v>770000</v>
      </c>
      <c r="E234" s="31" t="s">
        <v>846</v>
      </c>
      <c r="F234" s="30" t="s">
        <v>309</v>
      </c>
      <c r="G234" s="31" t="s">
        <v>849</v>
      </c>
      <c r="H234" s="31" t="s">
        <v>311</v>
      </c>
      <c r="I234" s="31" t="s">
        <v>294</v>
      </c>
      <c r="J234" s="31" t="s">
        <v>311</v>
      </c>
      <c r="K234" s="31" t="s">
        <v>311</v>
      </c>
      <c r="L234" s="31" t="s">
        <v>311</v>
      </c>
      <c r="M234" s="31" t="s">
        <v>311</v>
      </c>
    </row>
    <row r="235" customFormat="false" ht="15" hidden="false" customHeight="true" outlineLevel="0" collapsed="false">
      <c r="A235" s="30" t="s">
        <v>844</v>
      </c>
      <c r="B235" s="31" t="s">
        <v>850</v>
      </c>
      <c r="C235" s="30" t="s">
        <v>845</v>
      </c>
      <c r="D235" s="7" t="n">
        <v>154000</v>
      </c>
      <c r="E235" s="31" t="s">
        <v>846</v>
      </c>
      <c r="F235" s="30" t="s">
        <v>851</v>
      </c>
      <c r="G235" s="31" t="s">
        <v>852</v>
      </c>
      <c r="H235" s="31" t="s">
        <v>311</v>
      </c>
      <c r="I235" s="31" t="s">
        <v>294</v>
      </c>
      <c r="J235" s="31" t="s">
        <v>311</v>
      </c>
      <c r="K235" s="31" t="s">
        <v>311</v>
      </c>
      <c r="L235" s="31" t="s">
        <v>311</v>
      </c>
      <c r="M235" s="31" t="s">
        <v>311</v>
      </c>
    </row>
    <row r="236" customFormat="false" ht="15" hidden="false" customHeight="true" outlineLevel="0" collapsed="false">
      <c r="A236" s="30" t="s">
        <v>853</v>
      </c>
      <c r="B236" s="31" t="s">
        <v>499</v>
      </c>
      <c r="C236" s="30" t="s">
        <v>845</v>
      </c>
      <c r="D236" s="7" t="n">
        <v>682000</v>
      </c>
      <c r="E236" s="31" t="s">
        <v>846</v>
      </c>
      <c r="F236" s="30" t="s">
        <v>320</v>
      </c>
      <c r="G236" s="31" t="s">
        <v>854</v>
      </c>
      <c r="H236" s="31" t="s">
        <v>311</v>
      </c>
      <c r="I236" s="31" t="s">
        <v>294</v>
      </c>
      <c r="J236" s="30" t="s">
        <v>322</v>
      </c>
      <c r="K236" s="31" t="s">
        <v>855</v>
      </c>
      <c r="L236" s="30" t="s">
        <v>324</v>
      </c>
      <c r="M236" s="31" t="s">
        <v>856</v>
      </c>
    </row>
    <row r="237" customFormat="false" ht="15" hidden="false" customHeight="true" outlineLevel="0" collapsed="false">
      <c r="A237" s="30" t="s">
        <v>857</v>
      </c>
      <c r="B237" s="31" t="s">
        <v>499</v>
      </c>
      <c r="C237" s="30" t="s">
        <v>845</v>
      </c>
      <c r="D237" s="7" t="n">
        <v>682000</v>
      </c>
      <c r="E237" s="31" t="s">
        <v>846</v>
      </c>
      <c r="F237" s="30" t="s">
        <v>320</v>
      </c>
      <c r="G237" s="31" t="s">
        <v>858</v>
      </c>
      <c r="H237" s="31" t="s">
        <v>311</v>
      </c>
      <c r="I237" s="31" t="s">
        <v>294</v>
      </c>
      <c r="J237" s="30" t="s">
        <v>322</v>
      </c>
      <c r="K237" s="31" t="s">
        <v>859</v>
      </c>
      <c r="L237" s="30" t="s">
        <v>324</v>
      </c>
      <c r="M237" s="31" t="s">
        <v>860</v>
      </c>
    </row>
    <row r="238" customFormat="false" ht="15" hidden="false" customHeight="true" outlineLevel="0" collapsed="false">
      <c r="A238" s="30" t="s">
        <v>119</v>
      </c>
      <c r="B238" s="31" t="s">
        <v>499</v>
      </c>
      <c r="C238" s="31" t="s">
        <v>292</v>
      </c>
      <c r="D238" s="7" t="n">
        <v>100000</v>
      </c>
      <c r="E238" s="31" t="s">
        <v>846</v>
      </c>
      <c r="F238" s="30" t="s">
        <v>320</v>
      </c>
      <c r="G238" s="31" t="s">
        <v>861</v>
      </c>
      <c r="H238" s="31" t="s">
        <v>311</v>
      </c>
      <c r="I238" s="31" t="s">
        <v>293</v>
      </c>
      <c r="J238" s="30" t="s">
        <v>322</v>
      </c>
      <c r="K238" s="31" t="s">
        <v>862</v>
      </c>
      <c r="L238" s="30" t="s">
        <v>324</v>
      </c>
      <c r="M238" s="31" t="s">
        <v>863</v>
      </c>
    </row>
    <row r="239" customFormat="false" ht="15" hidden="false" customHeight="true" outlineLevel="0" collapsed="false">
      <c r="A239" s="30" t="s">
        <v>153</v>
      </c>
      <c r="B239" s="31" t="s">
        <v>499</v>
      </c>
      <c r="C239" s="31" t="s">
        <v>292</v>
      </c>
      <c r="D239" s="7" t="n">
        <v>100000</v>
      </c>
      <c r="E239" s="31" t="s">
        <v>846</v>
      </c>
      <c r="F239" s="30" t="s">
        <v>320</v>
      </c>
      <c r="G239" s="31" t="s">
        <v>864</v>
      </c>
      <c r="H239" s="31" t="s">
        <v>311</v>
      </c>
      <c r="I239" s="31" t="s">
        <v>293</v>
      </c>
      <c r="J239" s="30" t="s">
        <v>322</v>
      </c>
      <c r="K239" s="31" t="s">
        <v>865</v>
      </c>
      <c r="L239" s="30" t="s">
        <v>324</v>
      </c>
      <c r="M239" s="31" t="s">
        <v>866</v>
      </c>
    </row>
    <row r="240" customFormat="false" ht="15" hidden="false" customHeight="true" outlineLevel="0" collapsed="false">
      <c r="A240" s="30" t="s">
        <v>207</v>
      </c>
      <c r="B240" s="31" t="s">
        <v>405</v>
      </c>
      <c r="C240" s="31" t="s">
        <v>292</v>
      </c>
      <c r="D240" s="7" t="n">
        <v>100000</v>
      </c>
      <c r="E240" s="31" t="s">
        <v>846</v>
      </c>
      <c r="F240" s="30" t="s">
        <v>320</v>
      </c>
      <c r="G240" s="31" t="s">
        <v>867</v>
      </c>
      <c r="H240" s="31" t="s">
        <v>311</v>
      </c>
      <c r="I240" s="31" t="s">
        <v>293</v>
      </c>
      <c r="J240" s="30" t="s">
        <v>322</v>
      </c>
      <c r="K240" s="31" t="s">
        <v>868</v>
      </c>
      <c r="L240" s="30" t="s">
        <v>383</v>
      </c>
      <c r="M240" s="31" t="n">
        <v>79049381</v>
      </c>
    </row>
    <row r="241" customFormat="false" ht="15" hidden="false" customHeight="true" outlineLevel="0" collapsed="false">
      <c r="A241" s="30" t="s">
        <v>222</v>
      </c>
      <c r="B241" s="31" t="s">
        <v>334</v>
      </c>
      <c r="C241" s="30" t="s">
        <v>869</v>
      </c>
      <c r="D241" s="7" t="n">
        <v>220000</v>
      </c>
      <c r="E241" s="31" t="s">
        <v>846</v>
      </c>
      <c r="F241" s="30" t="s">
        <v>320</v>
      </c>
      <c r="G241" s="31" t="s">
        <v>870</v>
      </c>
      <c r="H241" s="31" t="s">
        <v>311</v>
      </c>
      <c r="I241" s="31" t="s">
        <v>294</v>
      </c>
      <c r="J241" s="30" t="s">
        <v>322</v>
      </c>
      <c r="K241" s="31" t="s">
        <v>871</v>
      </c>
      <c r="L241" s="30" t="s">
        <v>383</v>
      </c>
      <c r="M241" s="31" t="n">
        <v>70233741</v>
      </c>
    </row>
    <row r="242" customFormat="false" ht="15" hidden="false" customHeight="true" outlineLevel="0" collapsed="false">
      <c r="A242" s="30" t="s">
        <v>141</v>
      </c>
      <c r="B242" s="31" t="s">
        <v>872</v>
      </c>
      <c r="C242" s="31" t="s">
        <v>292</v>
      </c>
      <c r="D242" s="7" t="n">
        <v>100000</v>
      </c>
      <c r="E242" s="31" t="s">
        <v>846</v>
      </c>
      <c r="F242" s="30" t="s">
        <v>320</v>
      </c>
      <c r="G242" s="31" t="s">
        <v>873</v>
      </c>
      <c r="H242" s="31" t="s">
        <v>311</v>
      </c>
      <c r="I242" s="31" t="s">
        <v>293</v>
      </c>
      <c r="J242" s="30" t="s">
        <v>322</v>
      </c>
      <c r="K242" s="31" t="s">
        <v>874</v>
      </c>
      <c r="L242" s="30" t="s">
        <v>355</v>
      </c>
      <c r="M242" s="31" t="n">
        <v>92160527</v>
      </c>
    </row>
    <row r="243" customFormat="false" ht="15" hidden="false" customHeight="true" outlineLevel="0" collapsed="false">
      <c r="A243" s="30" t="s">
        <v>132</v>
      </c>
      <c r="B243" s="31" t="s">
        <v>453</v>
      </c>
      <c r="C243" s="31" t="s">
        <v>292</v>
      </c>
      <c r="D243" s="7" t="n">
        <v>100000</v>
      </c>
      <c r="E243" s="31" t="s">
        <v>846</v>
      </c>
      <c r="F243" s="30" t="s">
        <v>320</v>
      </c>
      <c r="G243" s="31" t="s">
        <v>875</v>
      </c>
      <c r="H243" s="31" t="s">
        <v>311</v>
      </c>
      <c r="I243" s="31" t="s">
        <v>293</v>
      </c>
      <c r="J243" s="30" t="s">
        <v>322</v>
      </c>
      <c r="K243" s="31" t="s">
        <v>876</v>
      </c>
      <c r="L243" s="30" t="s">
        <v>549</v>
      </c>
      <c r="M243" s="31" t="n">
        <v>43194951</v>
      </c>
    </row>
    <row r="244" customFormat="false" ht="15" hidden="false" customHeight="true" outlineLevel="0" collapsed="false">
      <c r="A244" s="30" t="s">
        <v>136</v>
      </c>
      <c r="B244" s="31" t="s">
        <v>711</v>
      </c>
      <c r="C244" s="31" t="s">
        <v>292</v>
      </c>
      <c r="D244" s="7" t="n">
        <v>100000</v>
      </c>
      <c r="E244" s="31" t="s">
        <v>846</v>
      </c>
      <c r="F244" s="30" t="s">
        <v>320</v>
      </c>
      <c r="G244" s="31" t="s">
        <v>877</v>
      </c>
      <c r="H244" s="31" t="s">
        <v>311</v>
      </c>
      <c r="I244" s="31" t="s">
        <v>293</v>
      </c>
      <c r="J244" s="30" t="s">
        <v>322</v>
      </c>
      <c r="K244" s="31" t="s">
        <v>878</v>
      </c>
      <c r="L244" s="30" t="s">
        <v>324</v>
      </c>
      <c r="M244" s="31" t="s">
        <v>879</v>
      </c>
    </row>
    <row r="245" customFormat="false" ht="15" hidden="false" customHeight="true" outlineLevel="0" collapsed="false">
      <c r="A245" s="30" t="s">
        <v>134</v>
      </c>
      <c r="B245" s="31" t="s">
        <v>679</v>
      </c>
      <c r="C245" s="31" t="s">
        <v>292</v>
      </c>
      <c r="D245" s="7" t="n">
        <v>100000</v>
      </c>
      <c r="E245" s="31" t="s">
        <v>846</v>
      </c>
      <c r="F245" s="30" t="s">
        <v>320</v>
      </c>
      <c r="G245" s="31" t="s">
        <v>880</v>
      </c>
      <c r="H245" s="31" t="s">
        <v>311</v>
      </c>
      <c r="I245" s="31" t="s">
        <v>293</v>
      </c>
      <c r="J245" s="30" t="s">
        <v>322</v>
      </c>
      <c r="K245" s="31" t="s">
        <v>881</v>
      </c>
      <c r="L245" s="30" t="s">
        <v>392</v>
      </c>
      <c r="M245" s="31" t="n">
        <v>33383302</v>
      </c>
    </row>
    <row r="246" customFormat="false" ht="15" hidden="false" customHeight="true" outlineLevel="0" collapsed="false">
      <c r="A246" s="30" t="s">
        <v>103</v>
      </c>
      <c r="B246" s="31" t="s">
        <v>667</v>
      </c>
      <c r="C246" s="31" t="s">
        <v>292</v>
      </c>
      <c r="D246" s="7" t="n">
        <v>100000</v>
      </c>
      <c r="E246" s="31" t="s">
        <v>846</v>
      </c>
      <c r="F246" s="30" t="s">
        <v>320</v>
      </c>
      <c r="G246" s="31" t="s">
        <v>882</v>
      </c>
      <c r="H246" s="31" t="s">
        <v>311</v>
      </c>
      <c r="I246" s="31" t="s">
        <v>293</v>
      </c>
      <c r="J246" s="30" t="s">
        <v>322</v>
      </c>
      <c r="K246" s="31" t="s">
        <v>883</v>
      </c>
      <c r="L246" s="30" t="s">
        <v>373</v>
      </c>
      <c r="M246" s="31" t="n">
        <v>10107305</v>
      </c>
    </row>
    <row r="247" customFormat="false" ht="15" hidden="false" customHeight="true" outlineLevel="0" collapsed="false">
      <c r="A247" s="30" t="s">
        <v>137</v>
      </c>
      <c r="B247" s="31" t="s">
        <v>420</v>
      </c>
      <c r="C247" s="31" t="s">
        <v>292</v>
      </c>
      <c r="D247" s="7" t="n">
        <v>100000</v>
      </c>
      <c r="E247" s="31" t="s">
        <v>846</v>
      </c>
      <c r="F247" s="30" t="s">
        <v>320</v>
      </c>
      <c r="G247" s="31" t="s">
        <v>884</v>
      </c>
      <c r="H247" s="31" t="s">
        <v>311</v>
      </c>
      <c r="I247" s="31" t="s">
        <v>293</v>
      </c>
      <c r="J247" s="30" t="s">
        <v>322</v>
      </c>
      <c r="K247" s="31" t="s">
        <v>885</v>
      </c>
      <c r="L247" s="30" t="s">
        <v>324</v>
      </c>
      <c r="M247" s="31" t="s">
        <v>886</v>
      </c>
    </row>
    <row r="248" customFormat="false" ht="15" hidden="false" customHeight="true" outlineLevel="0" collapsed="false">
      <c r="A248" s="31" t="s">
        <v>275</v>
      </c>
      <c r="B248" s="31" t="s">
        <v>378</v>
      </c>
      <c r="C248" s="31" t="s">
        <v>292</v>
      </c>
      <c r="D248" s="7" t="n">
        <v>100000</v>
      </c>
      <c r="E248" s="31" t="s">
        <v>846</v>
      </c>
      <c r="F248" s="30" t="s">
        <v>320</v>
      </c>
      <c r="G248" s="31" t="s">
        <v>887</v>
      </c>
      <c r="H248" s="31" t="s">
        <v>311</v>
      </c>
      <c r="I248" s="31" t="s">
        <v>293</v>
      </c>
      <c r="J248" s="30" t="s">
        <v>322</v>
      </c>
      <c r="K248" s="31" t="s">
        <v>888</v>
      </c>
      <c r="L248" s="30" t="s">
        <v>373</v>
      </c>
      <c r="M248" s="31" t="s">
        <v>889</v>
      </c>
    </row>
    <row r="249" customFormat="false" ht="15" hidden="false" customHeight="true" outlineLevel="0" collapsed="false">
      <c r="A249" s="30" t="s">
        <v>140</v>
      </c>
      <c r="B249" s="31" t="s">
        <v>685</v>
      </c>
      <c r="C249" s="31" t="s">
        <v>292</v>
      </c>
      <c r="D249" s="7" t="n">
        <v>100000</v>
      </c>
      <c r="E249" s="31" t="s">
        <v>846</v>
      </c>
      <c r="F249" s="30" t="s">
        <v>320</v>
      </c>
      <c r="G249" s="31" t="s">
        <v>890</v>
      </c>
      <c r="H249" s="31" t="s">
        <v>311</v>
      </c>
      <c r="I249" s="31" t="s">
        <v>293</v>
      </c>
      <c r="J249" s="30" t="s">
        <v>322</v>
      </c>
      <c r="K249" s="31" t="s">
        <v>891</v>
      </c>
      <c r="L249" s="30" t="s">
        <v>392</v>
      </c>
      <c r="M249" s="31" t="n">
        <v>40737594</v>
      </c>
    </row>
    <row r="250" customFormat="false" ht="15" hidden="false" customHeight="true" outlineLevel="0" collapsed="false">
      <c r="A250" s="30" t="s">
        <v>117</v>
      </c>
      <c r="B250" s="31" t="s">
        <v>332</v>
      </c>
      <c r="C250" s="31" t="s">
        <v>292</v>
      </c>
      <c r="D250" s="7" t="n">
        <v>100000</v>
      </c>
      <c r="E250" s="31" t="s">
        <v>846</v>
      </c>
      <c r="F250" s="30" t="s">
        <v>309</v>
      </c>
      <c r="G250" s="31" t="s">
        <v>892</v>
      </c>
      <c r="H250" s="31" t="s">
        <v>311</v>
      </c>
      <c r="I250" s="31" t="s">
        <v>440</v>
      </c>
      <c r="J250" s="31" t="s">
        <v>311</v>
      </c>
      <c r="K250" s="31" t="s">
        <v>311</v>
      </c>
      <c r="L250" s="31" t="s">
        <v>311</v>
      </c>
      <c r="M250" s="31" t="s">
        <v>311</v>
      </c>
    </row>
    <row r="251" customFormat="false" ht="15" hidden="false" customHeight="true" outlineLevel="0" collapsed="false">
      <c r="A251" s="30" t="s">
        <v>109</v>
      </c>
      <c r="B251" s="31" t="s">
        <v>358</v>
      </c>
      <c r="C251" s="31" t="s">
        <v>292</v>
      </c>
      <c r="D251" s="7" t="n">
        <v>100000</v>
      </c>
      <c r="E251" s="31" t="s">
        <v>846</v>
      </c>
      <c r="F251" s="30" t="s">
        <v>320</v>
      </c>
      <c r="G251" s="31" t="s">
        <v>893</v>
      </c>
      <c r="H251" s="31" t="s">
        <v>311</v>
      </c>
      <c r="I251" s="31" t="s">
        <v>293</v>
      </c>
      <c r="J251" s="30" t="s">
        <v>322</v>
      </c>
      <c r="K251" s="31" t="s">
        <v>894</v>
      </c>
      <c r="L251" s="30" t="s">
        <v>468</v>
      </c>
      <c r="M251" s="31" t="n">
        <v>30099004</v>
      </c>
    </row>
    <row r="252" customFormat="false" ht="15" hidden="false" customHeight="true" outlineLevel="0" collapsed="false">
      <c r="A252" s="30" t="s">
        <v>53</v>
      </c>
      <c r="B252" s="31" t="s">
        <v>334</v>
      </c>
      <c r="C252" s="31" t="s">
        <v>292</v>
      </c>
      <c r="D252" s="7" t="n">
        <v>100000</v>
      </c>
      <c r="E252" s="31" t="s">
        <v>846</v>
      </c>
      <c r="F252" s="30" t="s">
        <v>309</v>
      </c>
      <c r="G252" s="31" t="s">
        <v>895</v>
      </c>
      <c r="H252" s="31" t="s">
        <v>311</v>
      </c>
      <c r="I252" s="31" t="s">
        <v>440</v>
      </c>
      <c r="J252" s="31" t="s">
        <v>311</v>
      </c>
      <c r="K252" s="31" t="s">
        <v>311</v>
      </c>
      <c r="L252" s="31" t="s">
        <v>311</v>
      </c>
      <c r="M252" s="31" t="s">
        <v>311</v>
      </c>
    </row>
    <row r="253" customFormat="false" ht="15" hidden="false" customHeight="true" outlineLevel="0" collapsed="false">
      <c r="A253" s="30" t="s">
        <v>158</v>
      </c>
      <c r="B253" s="31" t="s">
        <v>389</v>
      </c>
      <c r="C253" s="31" t="s">
        <v>292</v>
      </c>
      <c r="D253" s="7" t="n">
        <v>40000</v>
      </c>
      <c r="E253" s="31" t="s">
        <v>846</v>
      </c>
      <c r="F253" s="30" t="s">
        <v>320</v>
      </c>
      <c r="G253" s="31" t="s">
        <v>896</v>
      </c>
      <c r="H253" s="31" t="s">
        <v>311</v>
      </c>
      <c r="I253" s="31" t="s">
        <v>293</v>
      </c>
      <c r="J253" s="30" t="s">
        <v>322</v>
      </c>
      <c r="K253" s="31" t="s">
        <v>897</v>
      </c>
      <c r="L253" s="30" t="s">
        <v>392</v>
      </c>
      <c r="M253" s="31" t="n">
        <v>54000086</v>
      </c>
    </row>
    <row r="254" customFormat="false" ht="15" hidden="false" customHeight="true" outlineLevel="0" collapsed="false">
      <c r="A254" s="30" t="s">
        <v>135</v>
      </c>
      <c r="B254" s="31" t="s">
        <v>559</v>
      </c>
      <c r="C254" s="31" t="s">
        <v>292</v>
      </c>
      <c r="D254" s="7" t="n">
        <v>100000</v>
      </c>
      <c r="E254" s="31" t="s">
        <v>846</v>
      </c>
      <c r="F254" s="30" t="s">
        <v>320</v>
      </c>
      <c r="G254" s="31" t="s">
        <v>898</v>
      </c>
      <c r="H254" s="31" t="s">
        <v>311</v>
      </c>
      <c r="I254" s="31" t="s">
        <v>293</v>
      </c>
      <c r="J254" s="30" t="s">
        <v>322</v>
      </c>
      <c r="K254" s="31" t="s">
        <v>899</v>
      </c>
      <c r="L254" s="30" t="s">
        <v>468</v>
      </c>
      <c r="M254" s="31" t="n">
        <v>30029112</v>
      </c>
    </row>
    <row r="255" customFormat="false" ht="15" hidden="false" customHeight="true" outlineLevel="0" collapsed="false">
      <c r="A255" s="30" t="s">
        <v>100</v>
      </c>
      <c r="B255" s="31" t="s">
        <v>340</v>
      </c>
      <c r="C255" s="31" t="s">
        <v>292</v>
      </c>
      <c r="D255" s="7" t="n">
        <v>30000</v>
      </c>
      <c r="E255" s="31" t="s">
        <v>846</v>
      </c>
      <c r="F255" s="30" t="s">
        <v>49</v>
      </c>
      <c r="G255" s="31" t="s">
        <v>900</v>
      </c>
      <c r="H255" s="31" t="s">
        <v>311</v>
      </c>
      <c r="I255" s="31" t="s">
        <v>293</v>
      </c>
      <c r="J255" s="31" t="s">
        <v>311</v>
      </c>
      <c r="K255" s="31" t="s">
        <v>311</v>
      </c>
      <c r="L255" s="31" t="s">
        <v>311</v>
      </c>
      <c r="M255" s="31" t="s">
        <v>311</v>
      </c>
    </row>
    <row r="256" customFormat="false" ht="15" hidden="false" customHeight="true" outlineLevel="0" collapsed="false">
      <c r="A256" s="30" t="s">
        <v>100</v>
      </c>
      <c r="B256" s="31" t="s">
        <v>340</v>
      </c>
      <c r="C256" s="31" t="s">
        <v>292</v>
      </c>
      <c r="D256" s="7" t="n">
        <v>100000</v>
      </c>
      <c r="E256" s="31" t="s">
        <v>846</v>
      </c>
      <c r="F256" s="30" t="s">
        <v>49</v>
      </c>
      <c r="G256" s="31" t="s">
        <v>901</v>
      </c>
      <c r="H256" s="31" t="s">
        <v>311</v>
      </c>
      <c r="I256" s="31" t="s">
        <v>846</v>
      </c>
      <c r="J256" s="31" t="s">
        <v>311</v>
      </c>
      <c r="K256" s="31" t="s">
        <v>311</v>
      </c>
      <c r="L256" s="31" t="s">
        <v>311</v>
      </c>
      <c r="M256" s="31" t="s">
        <v>311</v>
      </c>
    </row>
    <row r="257" customFormat="false" ht="15" hidden="false" customHeight="true" outlineLevel="0" collapsed="false">
      <c r="A257" s="30" t="s">
        <v>74</v>
      </c>
      <c r="B257" s="31" t="s">
        <v>462</v>
      </c>
      <c r="C257" s="31" t="s">
        <v>292</v>
      </c>
      <c r="D257" s="7" t="n">
        <v>100000</v>
      </c>
      <c r="E257" s="31" t="s">
        <v>846</v>
      </c>
      <c r="F257" s="30" t="s">
        <v>309</v>
      </c>
      <c r="G257" s="31" t="s">
        <v>902</v>
      </c>
      <c r="H257" s="31" t="s">
        <v>311</v>
      </c>
      <c r="I257" s="31" t="s">
        <v>440</v>
      </c>
      <c r="J257" s="31" t="s">
        <v>311</v>
      </c>
      <c r="K257" s="31" t="s">
        <v>311</v>
      </c>
      <c r="L257" s="31" t="s">
        <v>311</v>
      </c>
      <c r="M257" s="31" t="s">
        <v>311</v>
      </c>
    </row>
    <row r="258" customFormat="false" ht="15" hidden="false" customHeight="true" outlineLevel="0" collapsed="false">
      <c r="A258" s="30" t="s">
        <v>903</v>
      </c>
      <c r="B258" s="31" t="s">
        <v>904</v>
      </c>
      <c r="C258" s="31" t="s">
        <v>292</v>
      </c>
      <c r="D258" s="7" t="n">
        <v>100000</v>
      </c>
      <c r="E258" s="31" t="s">
        <v>846</v>
      </c>
      <c r="F258" s="30" t="s">
        <v>320</v>
      </c>
      <c r="G258" s="31" t="s">
        <v>905</v>
      </c>
      <c r="H258" s="31" t="s">
        <v>311</v>
      </c>
      <c r="I258" s="31" t="s">
        <v>293</v>
      </c>
      <c r="J258" s="30" t="s">
        <v>322</v>
      </c>
      <c r="K258" s="31" t="s">
        <v>906</v>
      </c>
      <c r="L258" s="30" t="s">
        <v>373</v>
      </c>
      <c r="M258" s="31" t="s">
        <v>907</v>
      </c>
    </row>
    <row r="259" customFormat="false" ht="15" hidden="false" customHeight="true" outlineLevel="0" collapsed="false">
      <c r="A259" s="30" t="s">
        <v>94</v>
      </c>
      <c r="B259" s="31" t="s">
        <v>908</v>
      </c>
      <c r="C259" s="31" t="s">
        <v>292</v>
      </c>
      <c r="D259" s="7" t="n">
        <v>100000</v>
      </c>
      <c r="E259" s="31" t="s">
        <v>846</v>
      </c>
      <c r="F259" s="30" t="s">
        <v>320</v>
      </c>
      <c r="G259" s="31" t="s">
        <v>909</v>
      </c>
      <c r="H259" s="31" t="s">
        <v>311</v>
      </c>
      <c r="I259" s="31" t="s">
        <v>293</v>
      </c>
      <c r="J259" s="30" t="s">
        <v>322</v>
      </c>
      <c r="K259" s="31" t="s">
        <v>910</v>
      </c>
      <c r="L259" s="30" t="s">
        <v>373</v>
      </c>
      <c r="M259" s="31" t="n">
        <v>21100110</v>
      </c>
    </row>
    <row r="260" customFormat="false" ht="15" hidden="false" customHeight="true" outlineLevel="0" collapsed="false">
      <c r="A260" s="30" t="s">
        <v>96</v>
      </c>
      <c r="B260" s="31" t="s">
        <v>911</v>
      </c>
      <c r="C260" s="31" t="s">
        <v>292</v>
      </c>
      <c r="D260" s="7" t="n">
        <v>100000</v>
      </c>
      <c r="E260" s="31" t="s">
        <v>846</v>
      </c>
      <c r="F260" s="30" t="s">
        <v>309</v>
      </c>
      <c r="G260" s="31" t="s">
        <v>912</v>
      </c>
      <c r="H260" s="31" t="s">
        <v>311</v>
      </c>
      <c r="I260" s="31" t="s">
        <v>440</v>
      </c>
      <c r="J260" s="31" t="s">
        <v>311</v>
      </c>
      <c r="K260" s="31" t="s">
        <v>311</v>
      </c>
      <c r="L260" s="31" t="s">
        <v>311</v>
      </c>
      <c r="M260" s="31" t="s">
        <v>311</v>
      </c>
    </row>
    <row r="261" customFormat="false" ht="15" hidden="false" customHeight="true" outlineLevel="0" collapsed="false">
      <c r="A261" s="30" t="s">
        <v>220</v>
      </c>
      <c r="B261" s="31" t="s">
        <v>913</v>
      </c>
      <c r="C261" s="31" t="s">
        <v>292</v>
      </c>
      <c r="D261" s="7" t="n">
        <v>100000</v>
      </c>
      <c r="E261" s="31" t="s">
        <v>846</v>
      </c>
      <c r="F261" s="30" t="s">
        <v>320</v>
      </c>
      <c r="G261" s="31" t="s">
        <v>914</v>
      </c>
      <c r="H261" s="31" t="s">
        <v>311</v>
      </c>
      <c r="I261" s="31" t="s">
        <v>293</v>
      </c>
      <c r="J261" s="30" t="s">
        <v>322</v>
      </c>
      <c r="K261" s="31" t="s">
        <v>915</v>
      </c>
      <c r="L261" s="30" t="s">
        <v>324</v>
      </c>
      <c r="M261" s="31" t="s">
        <v>916</v>
      </c>
    </row>
    <row r="262" customFormat="false" ht="15" hidden="false" customHeight="true" outlineLevel="0" collapsed="false">
      <c r="A262" s="30" t="s">
        <v>208</v>
      </c>
      <c r="B262" s="31" t="s">
        <v>328</v>
      </c>
      <c r="C262" s="31" t="s">
        <v>292</v>
      </c>
      <c r="D262" s="7" t="n">
        <v>100000</v>
      </c>
      <c r="E262" s="31" t="s">
        <v>846</v>
      </c>
      <c r="F262" s="30" t="s">
        <v>320</v>
      </c>
      <c r="G262" s="31" t="s">
        <v>917</v>
      </c>
      <c r="H262" s="31" t="s">
        <v>311</v>
      </c>
      <c r="I262" s="31" t="s">
        <v>293</v>
      </c>
      <c r="J262" s="30" t="s">
        <v>322</v>
      </c>
      <c r="K262" s="31" t="s">
        <v>918</v>
      </c>
      <c r="L262" s="30" t="s">
        <v>331</v>
      </c>
      <c r="M262" s="31" t="n">
        <v>22774327</v>
      </c>
    </row>
    <row r="263" customFormat="false" ht="15" hidden="false" customHeight="true" outlineLevel="0" collapsed="false">
      <c r="A263" s="30" t="s">
        <v>141</v>
      </c>
      <c r="B263" s="31" t="s">
        <v>919</v>
      </c>
      <c r="C263" s="31" t="s">
        <v>292</v>
      </c>
      <c r="D263" s="7" t="n">
        <v>100000</v>
      </c>
      <c r="E263" s="31" t="s">
        <v>846</v>
      </c>
      <c r="F263" s="30" t="s">
        <v>49</v>
      </c>
      <c r="G263" s="31" t="s">
        <v>920</v>
      </c>
      <c r="H263" s="31" t="s">
        <v>311</v>
      </c>
      <c r="I263" s="31" t="s">
        <v>846</v>
      </c>
      <c r="J263" s="31" t="s">
        <v>311</v>
      </c>
      <c r="K263" s="31" t="s">
        <v>311</v>
      </c>
      <c r="L263" s="31" t="s">
        <v>311</v>
      </c>
      <c r="M263" s="31" t="s">
        <v>311</v>
      </c>
    </row>
    <row r="264" customFormat="false" ht="15" hidden="false" customHeight="true" outlineLevel="0" collapsed="false">
      <c r="A264" s="30" t="s">
        <v>86</v>
      </c>
      <c r="B264" s="31" t="s">
        <v>464</v>
      </c>
      <c r="C264" s="31" t="s">
        <v>292</v>
      </c>
      <c r="D264" s="7" t="n">
        <v>100000</v>
      </c>
      <c r="E264" s="31" t="s">
        <v>921</v>
      </c>
      <c r="F264" s="30" t="s">
        <v>320</v>
      </c>
      <c r="G264" s="31" t="s">
        <v>922</v>
      </c>
      <c r="H264" s="31" t="s">
        <v>311</v>
      </c>
      <c r="I264" s="31" t="s">
        <v>293</v>
      </c>
      <c r="J264" s="30" t="s">
        <v>322</v>
      </c>
      <c r="K264" s="31" t="s">
        <v>923</v>
      </c>
      <c r="L264" s="30" t="s">
        <v>355</v>
      </c>
      <c r="M264" s="31" t="n">
        <v>91664197</v>
      </c>
    </row>
    <row r="265" customFormat="false" ht="15" hidden="false" customHeight="true" outlineLevel="0" collapsed="false">
      <c r="A265" s="30" t="s">
        <v>142</v>
      </c>
      <c r="B265" s="31" t="s">
        <v>715</v>
      </c>
      <c r="C265" s="31" t="s">
        <v>292</v>
      </c>
      <c r="D265" s="7" t="n">
        <v>100000</v>
      </c>
      <c r="E265" s="31" t="s">
        <v>921</v>
      </c>
      <c r="F265" s="30" t="s">
        <v>320</v>
      </c>
      <c r="G265" s="31" t="s">
        <v>924</v>
      </c>
      <c r="H265" s="31" t="s">
        <v>311</v>
      </c>
      <c r="I265" s="31" t="s">
        <v>293</v>
      </c>
      <c r="J265" s="30" t="s">
        <v>322</v>
      </c>
      <c r="K265" s="31" t="s">
        <v>925</v>
      </c>
      <c r="L265" s="30" t="s">
        <v>373</v>
      </c>
      <c r="M265" s="31" t="n">
        <v>23000010</v>
      </c>
    </row>
    <row r="266" customFormat="false" ht="15" hidden="false" customHeight="true" outlineLevel="0" collapsed="false">
      <c r="A266" s="30" t="s">
        <v>85</v>
      </c>
      <c r="B266" s="31" t="s">
        <v>926</v>
      </c>
      <c r="C266" s="31" t="s">
        <v>292</v>
      </c>
      <c r="D266" s="7" t="n">
        <v>100000</v>
      </c>
      <c r="E266" s="31" t="s">
        <v>921</v>
      </c>
      <c r="F266" s="30" t="s">
        <v>49</v>
      </c>
      <c r="G266" s="31" t="s">
        <v>927</v>
      </c>
      <c r="H266" s="31" t="s">
        <v>311</v>
      </c>
      <c r="I266" s="31" t="s">
        <v>921</v>
      </c>
      <c r="J266" s="31" t="s">
        <v>311</v>
      </c>
      <c r="K266" s="31" t="s">
        <v>311</v>
      </c>
      <c r="L266" s="31" t="s">
        <v>311</v>
      </c>
      <c r="M266" s="31" t="s">
        <v>311</v>
      </c>
    </row>
    <row r="267" customFormat="false" ht="15" hidden="false" customHeight="true" outlineLevel="0" collapsed="false">
      <c r="A267" s="30" t="s">
        <v>85</v>
      </c>
      <c r="B267" s="31" t="s">
        <v>464</v>
      </c>
      <c r="C267" s="31" t="s">
        <v>292</v>
      </c>
      <c r="D267" s="7" t="n">
        <v>100000</v>
      </c>
      <c r="E267" s="31" t="s">
        <v>921</v>
      </c>
      <c r="F267" s="30" t="s">
        <v>320</v>
      </c>
      <c r="G267" s="31" t="s">
        <v>928</v>
      </c>
      <c r="H267" s="31" t="s">
        <v>311</v>
      </c>
      <c r="I267" s="31" t="s">
        <v>293</v>
      </c>
      <c r="J267" s="30" t="s">
        <v>322</v>
      </c>
      <c r="K267" s="31" t="s">
        <v>929</v>
      </c>
      <c r="L267" s="30" t="s">
        <v>355</v>
      </c>
      <c r="M267" s="31" t="s">
        <v>930</v>
      </c>
    </row>
    <row r="268" customFormat="false" ht="15" hidden="false" customHeight="true" outlineLevel="0" collapsed="false">
      <c r="A268" s="30" t="s">
        <v>138</v>
      </c>
      <c r="B268" s="31" t="s">
        <v>493</v>
      </c>
      <c r="C268" s="31" t="s">
        <v>292</v>
      </c>
      <c r="D268" s="7" t="n">
        <v>100000</v>
      </c>
      <c r="E268" s="31" t="s">
        <v>921</v>
      </c>
      <c r="F268" s="30" t="s">
        <v>320</v>
      </c>
      <c r="G268" s="31" t="s">
        <v>931</v>
      </c>
      <c r="H268" s="31" t="s">
        <v>311</v>
      </c>
      <c r="I268" s="31" t="s">
        <v>293</v>
      </c>
      <c r="J268" s="30" t="s">
        <v>322</v>
      </c>
      <c r="K268" s="31" t="s">
        <v>932</v>
      </c>
      <c r="L268" s="30" t="s">
        <v>324</v>
      </c>
      <c r="M268" s="31" t="s">
        <v>933</v>
      </c>
    </row>
    <row r="269" customFormat="false" ht="15" hidden="false" customHeight="true" outlineLevel="0" collapsed="false">
      <c r="A269" s="30" t="s">
        <v>101</v>
      </c>
      <c r="B269" s="31" t="s">
        <v>798</v>
      </c>
      <c r="C269" s="31" t="s">
        <v>292</v>
      </c>
      <c r="D269" s="7" t="n">
        <v>45000</v>
      </c>
      <c r="E269" s="31" t="s">
        <v>921</v>
      </c>
      <c r="F269" s="30" t="s">
        <v>320</v>
      </c>
      <c r="G269" s="31" t="s">
        <v>934</v>
      </c>
      <c r="H269" s="31" t="s">
        <v>311</v>
      </c>
      <c r="I269" s="31" t="s">
        <v>293</v>
      </c>
      <c r="J269" s="30" t="s">
        <v>322</v>
      </c>
      <c r="K269" s="31" t="s">
        <v>935</v>
      </c>
      <c r="L269" s="30" t="s">
        <v>324</v>
      </c>
      <c r="M269" s="31" t="s">
        <v>936</v>
      </c>
    </row>
    <row r="270" customFormat="false" ht="15" hidden="false" customHeight="true" outlineLevel="0" collapsed="false">
      <c r="A270" s="30" t="s">
        <v>107</v>
      </c>
      <c r="B270" s="31" t="s">
        <v>399</v>
      </c>
      <c r="C270" s="31" t="s">
        <v>292</v>
      </c>
      <c r="D270" s="7" t="n">
        <v>100000</v>
      </c>
      <c r="E270" s="31" t="s">
        <v>921</v>
      </c>
      <c r="F270" s="30" t="s">
        <v>320</v>
      </c>
      <c r="G270" s="31" t="s">
        <v>937</v>
      </c>
      <c r="H270" s="31" t="s">
        <v>311</v>
      </c>
      <c r="I270" s="31" t="s">
        <v>293</v>
      </c>
      <c r="J270" s="30" t="s">
        <v>322</v>
      </c>
      <c r="K270" s="31" t="s">
        <v>938</v>
      </c>
      <c r="L270" s="30" t="s">
        <v>373</v>
      </c>
      <c r="M270" s="31" t="n">
        <v>29019252</v>
      </c>
    </row>
    <row r="271" customFormat="false" ht="15" hidden="false" customHeight="true" outlineLevel="0" collapsed="false">
      <c r="A271" s="30" t="s">
        <v>155</v>
      </c>
      <c r="B271" s="31" t="s">
        <v>348</v>
      </c>
      <c r="C271" s="31" t="s">
        <v>292</v>
      </c>
      <c r="D271" s="7" t="n">
        <v>30000</v>
      </c>
      <c r="E271" s="31" t="s">
        <v>921</v>
      </c>
      <c r="F271" s="30" t="s">
        <v>320</v>
      </c>
      <c r="G271" s="31" t="s">
        <v>939</v>
      </c>
      <c r="H271" s="31" t="s">
        <v>311</v>
      </c>
      <c r="I271" s="31" t="s">
        <v>293</v>
      </c>
      <c r="J271" s="30" t="s">
        <v>322</v>
      </c>
      <c r="K271" s="31" t="s">
        <v>940</v>
      </c>
      <c r="L271" s="30" t="s">
        <v>324</v>
      </c>
      <c r="M271" s="31" t="s">
        <v>941</v>
      </c>
    </row>
    <row r="272" customFormat="false" ht="15" hidden="false" customHeight="true" outlineLevel="0" collapsed="false">
      <c r="A272" s="30" t="s">
        <v>123</v>
      </c>
      <c r="B272" s="31" t="s">
        <v>675</v>
      </c>
      <c r="C272" s="31" t="s">
        <v>292</v>
      </c>
      <c r="D272" s="7" t="n">
        <v>100000</v>
      </c>
      <c r="E272" s="31" t="s">
        <v>921</v>
      </c>
      <c r="F272" s="30" t="s">
        <v>320</v>
      </c>
      <c r="G272" s="31" t="s">
        <v>942</v>
      </c>
      <c r="H272" s="31" t="s">
        <v>311</v>
      </c>
      <c r="I272" s="31" t="s">
        <v>293</v>
      </c>
      <c r="J272" s="30" t="s">
        <v>322</v>
      </c>
      <c r="K272" s="31" t="s">
        <v>943</v>
      </c>
      <c r="L272" s="30" t="s">
        <v>355</v>
      </c>
      <c r="M272" s="31" t="n">
        <v>21650141</v>
      </c>
    </row>
    <row r="273" customFormat="false" ht="15" hidden="false" customHeight="true" outlineLevel="0" collapsed="false">
      <c r="A273" s="31" t="s">
        <v>276</v>
      </c>
      <c r="B273" s="31" t="s">
        <v>482</v>
      </c>
      <c r="C273" s="31" t="s">
        <v>292</v>
      </c>
      <c r="D273" s="7" t="n">
        <v>100000</v>
      </c>
      <c r="E273" s="31" t="s">
        <v>921</v>
      </c>
      <c r="F273" s="30" t="s">
        <v>320</v>
      </c>
      <c r="G273" s="31" t="s">
        <v>944</v>
      </c>
      <c r="H273" s="31" t="s">
        <v>311</v>
      </c>
      <c r="I273" s="31" t="s">
        <v>293</v>
      </c>
      <c r="J273" s="30" t="s">
        <v>322</v>
      </c>
      <c r="K273" s="31" t="s">
        <v>945</v>
      </c>
      <c r="L273" s="30" t="s">
        <v>373</v>
      </c>
      <c r="M273" s="31" t="n">
        <v>23201202</v>
      </c>
    </row>
    <row r="274" customFormat="false" ht="15" hidden="false" customHeight="true" outlineLevel="0" collapsed="false">
      <c r="A274" s="30" t="s">
        <v>124</v>
      </c>
      <c r="B274" s="31" t="s">
        <v>682</v>
      </c>
      <c r="C274" s="31" t="s">
        <v>292</v>
      </c>
      <c r="D274" s="7" t="n">
        <v>100000</v>
      </c>
      <c r="E274" s="31" t="s">
        <v>946</v>
      </c>
      <c r="F274" s="30" t="s">
        <v>320</v>
      </c>
      <c r="G274" s="31" t="s">
        <v>947</v>
      </c>
      <c r="H274" s="31" t="s">
        <v>311</v>
      </c>
      <c r="I274" s="31" t="s">
        <v>293</v>
      </c>
      <c r="J274" s="30" t="s">
        <v>322</v>
      </c>
      <c r="K274" s="31" t="s">
        <v>948</v>
      </c>
      <c r="L274" s="30" t="s">
        <v>331</v>
      </c>
      <c r="M274" s="31" t="n">
        <v>22110822</v>
      </c>
    </row>
    <row r="275" customFormat="false" ht="15" hidden="false" customHeight="true" outlineLevel="0" collapsed="false">
      <c r="A275" s="30" t="s">
        <v>143</v>
      </c>
      <c r="B275" s="31" t="s">
        <v>591</v>
      </c>
      <c r="C275" s="31" t="s">
        <v>292</v>
      </c>
      <c r="D275" s="7" t="n">
        <v>100000</v>
      </c>
      <c r="E275" s="31" t="s">
        <v>946</v>
      </c>
      <c r="F275" s="30" t="s">
        <v>320</v>
      </c>
      <c r="G275" s="31" t="s">
        <v>949</v>
      </c>
      <c r="H275" s="31" t="s">
        <v>311</v>
      </c>
      <c r="I275" s="31" t="s">
        <v>293</v>
      </c>
      <c r="J275" s="30" t="s">
        <v>322</v>
      </c>
      <c r="K275" s="31" t="s">
        <v>950</v>
      </c>
      <c r="L275" s="30" t="s">
        <v>324</v>
      </c>
      <c r="M275" s="31" t="s">
        <v>951</v>
      </c>
    </row>
    <row r="276" customFormat="false" ht="15" hidden="false" customHeight="true" outlineLevel="0" collapsed="false">
      <c r="A276" s="30" t="s">
        <v>127</v>
      </c>
      <c r="B276" s="31" t="s">
        <v>652</v>
      </c>
      <c r="C276" s="31" t="s">
        <v>292</v>
      </c>
      <c r="D276" s="7" t="n">
        <v>100000</v>
      </c>
      <c r="E276" s="31" t="s">
        <v>946</v>
      </c>
      <c r="F276" s="30" t="s">
        <v>320</v>
      </c>
      <c r="G276" s="31" t="s">
        <v>952</v>
      </c>
      <c r="H276" s="31" t="s">
        <v>311</v>
      </c>
      <c r="I276" s="31" t="s">
        <v>293</v>
      </c>
      <c r="J276" s="30" t="s">
        <v>322</v>
      </c>
      <c r="K276" s="31" t="s">
        <v>953</v>
      </c>
      <c r="L276" s="30" t="s">
        <v>383</v>
      </c>
      <c r="M276" s="31" t="n">
        <v>70155871</v>
      </c>
    </row>
    <row r="277" customFormat="false" ht="15" hidden="false" customHeight="true" outlineLevel="0" collapsed="false">
      <c r="A277" s="30" t="s">
        <v>60</v>
      </c>
      <c r="B277" s="31" t="s">
        <v>618</v>
      </c>
      <c r="C277" s="31" t="s">
        <v>292</v>
      </c>
      <c r="D277" s="7" t="n">
        <v>100000</v>
      </c>
      <c r="E277" s="31" t="s">
        <v>946</v>
      </c>
      <c r="F277" s="30" t="s">
        <v>309</v>
      </c>
      <c r="G277" s="31" t="s">
        <v>954</v>
      </c>
      <c r="H277" s="31" t="s">
        <v>311</v>
      </c>
      <c r="I277" s="31" t="s">
        <v>440</v>
      </c>
      <c r="J277" s="31" t="s">
        <v>311</v>
      </c>
      <c r="K277" s="31" t="s">
        <v>311</v>
      </c>
      <c r="L277" s="31" t="s">
        <v>311</v>
      </c>
      <c r="M277" s="31" t="s">
        <v>311</v>
      </c>
    </row>
    <row r="278" customFormat="false" ht="15" hidden="false" customHeight="true" outlineLevel="0" collapsed="false">
      <c r="A278" s="30" t="s">
        <v>210</v>
      </c>
      <c r="B278" s="31" t="s">
        <v>955</v>
      </c>
      <c r="C278" s="31" t="s">
        <v>292</v>
      </c>
      <c r="D278" s="7" t="n">
        <v>100000</v>
      </c>
      <c r="E278" s="31" t="s">
        <v>946</v>
      </c>
      <c r="F278" s="30" t="s">
        <v>320</v>
      </c>
      <c r="G278" s="31" t="s">
        <v>956</v>
      </c>
      <c r="H278" s="31" t="s">
        <v>311</v>
      </c>
      <c r="I278" s="31" t="s">
        <v>293</v>
      </c>
      <c r="J278" s="30" t="s">
        <v>322</v>
      </c>
      <c r="K278" s="31" t="s">
        <v>957</v>
      </c>
      <c r="L278" s="30" t="s">
        <v>324</v>
      </c>
      <c r="M278" s="31" t="s">
        <v>958</v>
      </c>
    </row>
    <row r="279" customFormat="false" ht="15" hidden="false" customHeight="true" outlineLevel="0" collapsed="false">
      <c r="A279" s="30" t="s">
        <v>125</v>
      </c>
      <c r="B279" s="31" t="s">
        <v>692</v>
      </c>
      <c r="C279" s="31" t="s">
        <v>292</v>
      </c>
      <c r="D279" s="7" t="n">
        <v>100000</v>
      </c>
      <c r="E279" s="31" t="s">
        <v>946</v>
      </c>
      <c r="F279" s="30" t="s">
        <v>320</v>
      </c>
      <c r="G279" s="31" t="s">
        <v>959</v>
      </c>
      <c r="H279" s="31" t="s">
        <v>311</v>
      </c>
      <c r="I279" s="31" t="s">
        <v>293</v>
      </c>
      <c r="J279" s="30" t="s">
        <v>322</v>
      </c>
      <c r="K279" s="31" t="s">
        <v>960</v>
      </c>
      <c r="L279" s="30" t="s">
        <v>324</v>
      </c>
      <c r="M279" s="31" t="s">
        <v>961</v>
      </c>
    </row>
    <row r="280" customFormat="false" ht="15" hidden="false" customHeight="true" outlineLevel="0" collapsed="false">
      <c r="A280" s="30" t="s">
        <v>113</v>
      </c>
      <c r="B280" s="31" t="s">
        <v>524</v>
      </c>
      <c r="C280" s="31" t="s">
        <v>292</v>
      </c>
      <c r="D280" s="7" t="n">
        <v>100000</v>
      </c>
      <c r="E280" s="31" t="s">
        <v>946</v>
      </c>
      <c r="F280" s="30" t="s">
        <v>320</v>
      </c>
      <c r="G280" s="31" t="s">
        <v>962</v>
      </c>
      <c r="H280" s="31" t="s">
        <v>311</v>
      </c>
      <c r="I280" s="31" t="s">
        <v>293</v>
      </c>
      <c r="J280" s="30" t="s">
        <v>322</v>
      </c>
      <c r="K280" s="31" t="s">
        <v>963</v>
      </c>
      <c r="L280" s="30" t="s">
        <v>383</v>
      </c>
      <c r="M280" s="31" t="n">
        <v>79114512</v>
      </c>
    </row>
    <row r="281" customFormat="false" ht="15" hidden="false" customHeight="true" outlineLevel="0" collapsed="false">
      <c r="A281" s="30" t="s">
        <v>149</v>
      </c>
      <c r="B281" s="31" t="s">
        <v>669</v>
      </c>
      <c r="C281" s="31" t="s">
        <v>292</v>
      </c>
      <c r="D281" s="7" t="n">
        <v>100000</v>
      </c>
      <c r="E281" s="31" t="s">
        <v>946</v>
      </c>
      <c r="F281" s="30" t="s">
        <v>320</v>
      </c>
      <c r="G281" s="31" t="s">
        <v>964</v>
      </c>
      <c r="H281" s="31" t="s">
        <v>311</v>
      </c>
      <c r="I281" s="31" t="s">
        <v>440</v>
      </c>
      <c r="J281" s="30" t="s">
        <v>322</v>
      </c>
      <c r="K281" s="31" t="s">
        <v>965</v>
      </c>
      <c r="L281" s="30" t="s">
        <v>392</v>
      </c>
      <c r="M281" s="31" t="n">
        <v>30266057</v>
      </c>
    </row>
    <row r="282" customFormat="false" ht="15" hidden="false" customHeight="true" outlineLevel="0" collapsed="false">
      <c r="A282" s="30" t="s">
        <v>115</v>
      </c>
      <c r="B282" s="31" t="s">
        <v>408</v>
      </c>
      <c r="C282" s="31" t="s">
        <v>292</v>
      </c>
      <c r="D282" s="7" t="n">
        <v>100000</v>
      </c>
      <c r="E282" s="31" t="s">
        <v>946</v>
      </c>
      <c r="F282" s="30" t="s">
        <v>309</v>
      </c>
      <c r="G282" s="31" t="s">
        <v>966</v>
      </c>
      <c r="H282" s="31" t="s">
        <v>311</v>
      </c>
      <c r="I282" s="31" t="s">
        <v>440</v>
      </c>
      <c r="J282" s="31" t="s">
        <v>311</v>
      </c>
      <c r="K282" s="31" t="s">
        <v>311</v>
      </c>
      <c r="L282" s="31" t="s">
        <v>311</v>
      </c>
      <c r="M282" s="31" t="s">
        <v>311</v>
      </c>
    </row>
    <row r="283" customFormat="false" ht="15" hidden="false" customHeight="true" outlineLevel="0" collapsed="false">
      <c r="A283" s="30" t="s">
        <v>126</v>
      </c>
      <c r="B283" s="31" t="s">
        <v>519</v>
      </c>
      <c r="C283" s="31" t="s">
        <v>292</v>
      </c>
      <c r="D283" s="7" t="n">
        <v>100000</v>
      </c>
      <c r="E283" s="31" t="s">
        <v>946</v>
      </c>
      <c r="F283" s="30" t="s">
        <v>320</v>
      </c>
      <c r="G283" s="31" t="s">
        <v>967</v>
      </c>
      <c r="H283" s="31" t="s">
        <v>311</v>
      </c>
      <c r="I283" s="31" t="s">
        <v>293</v>
      </c>
      <c r="J283" s="30" t="s">
        <v>322</v>
      </c>
      <c r="K283" s="31" t="s">
        <v>968</v>
      </c>
      <c r="L283" s="30" t="s">
        <v>324</v>
      </c>
      <c r="M283" s="31" t="s">
        <v>969</v>
      </c>
    </row>
    <row r="284" customFormat="false" ht="15" hidden="false" customHeight="true" outlineLevel="0" collapsed="false">
      <c r="A284" s="30" t="s">
        <v>211</v>
      </c>
      <c r="B284" s="31" t="s">
        <v>970</v>
      </c>
      <c r="C284" s="31" t="s">
        <v>292</v>
      </c>
      <c r="D284" s="7" t="n">
        <v>100000</v>
      </c>
      <c r="E284" s="31" t="s">
        <v>946</v>
      </c>
      <c r="F284" s="30" t="s">
        <v>309</v>
      </c>
      <c r="G284" s="31" t="s">
        <v>971</v>
      </c>
      <c r="H284" s="31" t="s">
        <v>311</v>
      </c>
      <c r="I284" s="31" t="s">
        <v>440</v>
      </c>
      <c r="J284" s="31" t="s">
        <v>311</v>
      </c>
      <c r="K284" s="31" t="s">
        <v>311</v>
      </c>
      <c r="L284" s="31" t="s">
        <v>311</v>
      </c>
      <c r="M284" s="31" t="s">
        <v>311</v>
      </c>
    </row>
    <row r="285" customFormat="false" ht="15" hidden="false" customHeight="true" outlineLevel="0" collapsed="false">
      <c r="A285" s="30" t="s">
        <v>147</v>
      </c>
      <c r="B285" s="31" t="s">
        <v>344</v>
      </c>
      <c r="C285" s="31" t="s">
        <v>292</v>
      </c>
      <c r="D285" s="7" t="n">
        <v>100000</v>
      </c>
      <c r="E285" s="31" t="s">
        <v>946</v>
      </c>
      <c r="F285" s="30" t="s">
        <v>320</v>
      </c>
      <c r="G285" s="31" t="s">
        <v>972</v>
      </c>
      <c r="H285" s="31" t="s">
        <v>311</v>
      </c>
      <c r="I285" s="31" t="s">
        <v>293</v>
      </c>
      <c r="J285" s="30" t="s">
        <v>322</v>
      </c>
      <c r="K285" s="31" t="s">
        <v>973</v>
      </c>
      <c r="L285" s="30" t="s">
        <v>468</v>
      </c>
      <c r="M285" s="31" t="n">
        <v>30078258</v>
      </c>
    </row>
    <row r="286" customFormat="false" ht="15" hidden="false" customHeight="true" outlineLevel="0" collapsed="false">
      <c r="A286" s="30" t="s">
        <v>147</v>
      </c>
      <c r="B286" s="31" t="s">
        <v>519</v>
      </c>
      <c r="C286" s="31" t="s">
        <v>292</v>
      </c>
      <c r="D286" s="7" t="n">
        <v>100000</v>
      </c>
      <c r="E286" s="31" t="s">
        <v>946</v>
      </c>
      <c r="F286" s="30" t="s">
        <v>49</v>
      </c>
      <c r="G286" s="31" t="s">
        <v>974</v>
      </c>
      <c r="H286" s="31" t="s">
        <v>311</v>
      </c>
      <c r="I286" s="31" t="s">
        <v>946</v>
      </c>
      <c r="J286" s="31" t="s">
        <v>311</v>
      </c>
      <c r="K286" s="31" t="s">
        <v>311</v>
      </c>
      <c r="L286" s="31" t="s">
        <v>311</v>
      </c>
      <c r="M286" s="31" t="s">
        <v>311</v>
      </c>
    </row>
    <row r="287" customFormat="false" ht="15" hidden="false" customHeight="true" outlineLevel="0" collapsed="false">
      <c r="A287" s="30" t="s">
        <v>128</v>
      </c>
      <c r="B287" s="31" t="s">
        <v>546</v>
      </c>
      <c r="C287" s="31" t="s">
        <v>292</v>
      </c>
      <c r="D287" s="7" t="n">
        <v>100000</v>
      </c>
      <c r="E287" s="31" t="s">
        <v>946</v>
      </c>
      <c r="F287" s="30" t="s">
        <v>320</v>
      </c>
      <c r="G287" s="31" t="s">
        <v>975</v>
      </c>
      <c r="H287" s="31" t="s">
        <v>311</v>
      </c>
      <c r="I287" s="31" t="s">
        <v>293</v>
      </c>
      <c r="J287" s="30" t="s">
        <v>322</v>
      </c>
      <c r="K287" s="31" t="s">
        <v>976</v>
      </c>
      <c r="L287" s="30" t="s">
        <v>373</v>
      </c>
      <c r="M287" s="31" t="s">
        <v>977</v>
      </c>
    </row>
    <row r="288" customFormat="false" ht="15" hidden="false" customHeight="true" outlineLevel="0" collapsed="false">
      <c r="A288" s="30" t="s">
        <v>62</v>
      </c>
      <c r="B288" s="31" t="s">
        <v>387</v>
      </c>
      <c r="C288" s="31" t="s">
        <v>292</v>
      </c>
      <c r="D288" s="7" t="n">
        <v>100000</v>
      </c>
      <c r="E288" s="31" t="s">
        <v>946</v>
      </c>
      <c r="F288" s="30" t="s">
        <v>309</v>
      </c>
      <c r="G288" s="31" t="s">
        <v>978</v>
      </c>
      <c r="H288" s="31" t="s">
        <v>311</v>
      </c>
      <c r="I288" s="31" t="s">
        <v>440</v>
      </c>
      <c r="J288" s="31" t="s">
        <v>311</v>
      </c>
      <c r="K288" s="31" t="s">
        <v>311</v>
      </c>
      <c r="L288" s="31" t="s">
        <v>311</v>
      </c>
      <c r="M288" s="31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2026-09-14T03:32:09Z</dcterms:created>
  <dc:creator>openpyxl</dc:creator>
  <dc:description/>
  <dc:language>en-US</dc:language>
  <cp:lastModifiedBy/>
  <dcterms:modified xsi:type="dcterms:W3CDTF">2026-09-14T03:32:32Z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