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생별 분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<sst xmlns="http://schemas.openxmlformats.org/spreadsheetml/2006/main" count="981" uniqueCount="171">
  <si>
    <t xml:space="preserve">반</t>
  </si>
  <si>
    <t xml:space="preserve">구분</t>
  </si>
  <si>
    <t xml:space="preserve">이름</t>
  </si>
  <si>
    <t xml:space="preserve">특이사항</t>
  </si>
  <si>
    <t xml:space="preserve">학비
청구간격</t>
  </si>
  <si>
    <t xml:space="preserve">월 교육비</t>
  </si>
  <si>
    <t xml:space="preserve">적용 기준가</t>
  </si>
  <si>
    <t xml:space="preserve">배수</t>
  </si>
  <si>
    <t xml:space="preserve">할인 해석</t>
  </si>
  <si>
    <t xml:space="preserve">규칙상 금액</t>
  </si>
  <si>
    <t xml:space="preserve">차이</t>
  </si>
  <si>
    <t xml:space="preserve">방과후 간격</t>
  </si>
  <si>
    <t xml:space="preserve">방과후 금액</t>
  </si>
  <si>
    <t xml:space="preserve">방과후 수강일</t>
  </si>
  <si>
    <t xml:space="preserve">방과후 선납할인</t>
  </si>
  <si>
    <t xml:space="preserve">발전기금</t>
  </si>
  <si>
    <t xml:space="preserve">1A</t>
  </si>
  <si>
    <t xml:space="preserve">재학</t>
  </si>
  <si>
    <r>
      <rPr>
        <sz val="10"/>
        <rFont val="Noto Sans CJK SC"/>
        <family val="2"/>
      </rPr>
      <t xml:space="preserve">김사랑 </t>
    </r>
    <r>
      <rPr>
        <sz val="10"/>
        <rFont val="Arial"/>
        <family val="0"/>
        <charset val="1"/>
      </rPr>
      <t xml:space="preserve">Benecia</t>
    </r>
  </si>
  <si>
    <t xml:space="preserve">셔틀미이용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</si>
  <si>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선납</t>
    </r>
  </si>
  <si>
    <t xml:space="preserve">5%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</si>
  <si>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개월 선납 </t>
    </r>
    <r>
      <rPr>
        <sz val="10"/>
        <rFont val="Arial"/>
        <family val="0"/>
        <charset val="1"/>
      </rPr>
      <t xml:space="preserve">/ 5</t>
    </r>
    <r>
      <rPr>
        <sz val="10"/>
        <rFont val="Noto Sans CJK SC"/>
        <family val="2"/>
      </rPr>
      <t xml:space="preserve">일수강 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</si>
  <si>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</si>
  <si>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개월 선납 </t>
    </r>
    <r>
      <rPr>
        <sz val="10"/>
        <rFont val="Arial"/>
        <family val="0"/>
        <charset val="1"/>
      </rPr>
      <t xml:space="preserve">10%</t>
    </r>
  </si>
  <si>
    <r>
      <rPr>
        <sz val="10"/>
        <rFont val="Noto Sans CJK SC"/>
        <family val="2"/>
      </rPr>
      <t xml:space="preserve">김단우 </t>
    </r>
    <r>
      <rPr>
        <sz val="10"/>
        <rFont val="Arial"/>
        <family val="0"/>
        <charset val="1"/>
      </rPr>
      <t xml:space="preserve">Danu</t>
    </r>
  </si>
  <si>
    <t xml:space="preserve">유치부졸업생</t>
  </si>
  <si>
    <r>
      <rPr>
        <sz val="10"/>
        <rFont val="Arial"/>
        <family val="0"/>
        <charset val="1"/>
      </rPr>
      <t xml:space="preserve">10%+10% (</t>
    </r>
    <r>
      <rPr>
        <sz val="10"/>
        <rFont val="Noto Sans CJK SC"/>
        <family val="2"/>
      </rPr>
      <t xml:space="preserve">곱셈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</si>
  <si>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심규민 </t>
    </r>
    <r>
      <rPr>
        <sz val="10"/>
        <rFont val="Arial"/>
        <family val="0"/>
        <charset val="1"/>
      </rPr>
      <t xml:space="preserve">Gyumin</t>
    </r>
  </si>
  <si>
    <t xml:space="preserve">1Y</t>
  </si>
  <si>
    <t xml:space="preserve">5M/5D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</si>
  <si>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개월 선납 </t>
    </r>
    <r>
      <rPr>
        <sz val="10"/>
        <rFont val="Arial"/>
        <family val="0"/>
        <charset val="1"/>
      </rPr>
      <t xml:space="preserve">5%</t>
    </r>
  </si>
  <si>
    <r>
      <rPr>
        <sz val="10"/>
        <rFont val="Noto Sans CJK SC"/>
        <family val="2"/>
      </rPr>
      <t xml:space="preserve">박하솜 </t>
    </r>
    <r>
      <rPr>
        <sz val="10"/>
        <rFont val="Arial"/>
        <family val="0"/>
        <charset val="1"/>
      </rPr>
      <t xml:space="preserve">Hasom</t>
    </r>
  </si>
  <si>
    <t xml:space="preserve">-</t>
  </si>
  <si>
    <t xml:space="preserve">N/A</t>
  </si>
  <si>
    <r>
      <rPr>
        <sz val="10"/>
        <rFont val="Noto Sans CJK SC"/>
        <family val="2"/>
      </rPr>
      <t xml:space="preserve">주이안 </t>
    </r>
    <r>
      <rPr>
        <sz val="10"/>
        <rFont val="Arial"/>
        <family val="0"/>
        <charset val="1"/>
      </rPr>
      <t xml:space="preserve">Ian</t>
    </r>
  </si>
  <si>
    <t xml:space="preserve">10M/5D</t>
  </si>
  <si>
    <r>
      <rPr>
        <sz val="10"/>
        <rFont val="Noto Sans CJK SC"/>
        <family val="2"/>
      </rPr>
      <t xml:space="preserve">김재이 </t>
    </r>
    <r>
      <rPr>
        <sz val="10"/>
        <rFont val="Arial"/>
        <family val="0"/>
        <charset val="1"/>
      </rPr>
      <t xml:space="preserve">Jay</t>
    </r>
  </si>
  <si>
    <t xml:space="preserve">1T</t>
  </si>
  <si>
    <t xml:space="preserve">10%</t>
  </si>
  <si>
    <r>
      <rPr>
        <sz val="10"/>
        <rFont val="Noto Sans CJK SC"/>
        <family val="2"/>
      </rPr>
      <t xml:space="preserve">남예인 </t>
    </r>
    <r>
      <rPr>
        <sz val="10"/>
        <rFont val="Arial"/>
        <family val="0"/>
        <charset val="1"/>
      </rPr>
      <t xml:space="preserve">Jennie</t>
    </r>
  </si>
  <si>
    <t xml:space="preserve">1M/5D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</si>
  <si>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할인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</si>
  <si>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이라엘 </t>
    </r>
    <r>
      <rPr>
        <sz val="10"/>
        <rFont val="Arial"/>
        <family val="0"/>
        <charset val="1"/>
      </rPr>
      <t xml:space="preserve">Lael</t>
    </r>
  </si>
  <si>
    <r>
      <rPr>
        <sz val="10"/>
        <rFont val="Noto Sans CJK SC"/>
        <family val="2"/>
      </rPr>
      <t xml:space="preserve">김도은 </t>
    </r>
    <r>
      <rPr>
        <sz val="10"/>
        <rFont val="Arial"/>
        <family val="0"/>
        <charset val="1"/>
      </rPr>
      <t xml:space="preserve">Rogan</t>
    </r>
  </si>
  <si>
    <r>
      <rPr>
        <sz val="10"/>
        <rFont val="Noto Sans CJK SC"/>
        <family val="2"/>
      </rPr>
      <t xml:space="preserve">유치부졸업생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전학생동생</t>
    </r>
  </si>
  <si>
    <r>
      <rPr>
        <sz val="10"/>
        <rFont val="Noto Sans CJK SC"/>
        <family val="2"/>
      </rPr>
      <t xml:space="preserve">이서준 </t>
    </r>
    <r>
      <rPr>
        <sz val="10"/>
        <rFont val="Arial"/>
        <family val="0"/>
        <charset val="1"/>
      </rPr>
      <t xml:space="preserve">Seojun</t>
    </r>
  </si>
  <si>
    <r>
      <rPr>
        <sz val="10"/>
        <rFont val="Noto Sans CJK SC"/>
        <family val="2"/>
      </rPr>
      <t xml:space="preserve">원세빈 </t>
    </r>
    <r>
      <rPr>
        <sz val="10"/>
        <rFont val="Arial"/>
        <family val="0"/>
        <charset val="1"/>
      </rPr>
      <t xml:space="preserve">Sophia</t>
    </r>
  </si>
  <si>
    <r>
      <rPr>
        <sz val="10"/>
        <rFont val="Noto Sans CJK SC"/>
        <family val="2"/>
      </rPr>
      <t xml:space="preserve">권태이 </t>
    </r>
    <r>
      <rPr>
        <sz val="10"/>
        <rFont val="Arial"/>
        <family val="0"/>
        <charset val="1"/>
      </rPr>
      <t xml:space="preserve">Tay</t>
    </r>
  </si>
  <si>
    <t xml:space="preserve">할인 없음</t>
  </si>
  <si>
    <r>
      <rPr>
        <sz val="10"/>
        <rFont val="Noto Sans CJK SC"/>
        <family val="2"/>
      </rPr>
      <t xml:space="preserve">한우영 </t>
    </r>
    <r>
      <rPr>
        <sz val="10"/>
        <rFont val="Arial"/>
        <family val="0"/>
        <charset val="1"/>
      </rPr>
      <t xml:space="preserve">Zoe</t>
    </r>
  </si>
  <si>
    <t xml:space="preserve">전출</t>
  </si>
  <si>
    <r>
      <rPr>
        <sz val="10"/>
        <rFont val="Noto Sans CJK SC"/>
        <family val="2"/>
      </rPr>
      <t xml:space="preserve">최백두 </t>
    </r>
    <r>
      <rPr>
        <sz val="10"/>
        <rFont val="Arial"/>
        <family val="0"/>
        <charset val="1"/>
      </rPr>
      <t xml:space="preserve">Baekdu</t>
    </r>
  </si>
  <si>
    <t xml:space="preserve">1C</t>
  </si>
  <si>
    <r>
      <rPr>
        <sz val="10"/>
        <rFont val="Noto Sans CJK SC"/>
        <family val="2"/>
      </rPr>
      <t xml:space="preserve">김나율 </t>
    </r>
    <r>
      <rPr>
        <sz val="10"/>
        <rFont val="Arial"/>
        <family val="0"/>
        <charset val="1"/>
      </rPr>
      <t xml:space="preserve">Anna</t>
    </r>
  </si>
  <si>
    <r>
      <rPr>
        <sz val="10"/>
        <rFont val="Noto Sans CJK SC"/>
        <family val="2"/>
      </rPr>
      <t xml:space="preserve">이아인 </t>
    </r>
    <r>
      <rPr>
        <sz val="10"/>
        <rFont val="Arial"/>
        <family val="0"/>
        <charset val="1"/>
      </rPr>
      <t xml:space="preserve">Ayn</t>
    </r>
  </si>
  <si>
    <r>
      <rPr>
        <sz val="10"/>
        <rFont val="Noto Sans CJK SC"/>
        <family val="2"/>
      </rPr>
      <t xml:space="preserve">황라윤 </t>
    </r>
    <r>
      <rPr>
        <sz val="10"/>
        <rFont val="Arial"/>
        <family val="0"/>
        <charset val="1"/>
      </rPr>
      <t xml:space="preserve">Bella</t>
    </r>
  </si>
  <si>
    <r>
      <rPr>
        <sz val="10"/>
        <rFont val="Noto Sans CJK SC"/>
        <family val="2"/>
      </rPr>
      <t xml:space="preserve">유치부졸업생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형제등록</t>
    </r>
  </si>
  <si>
    <r>
      <rPr>
        <sz val="10"/>
        <rFont val="Noto Sans CJK SC"/>
        <family val="2"/>
      </rPr>
      <t xml:space="preserve">서민준 </t>
    </r>
    <r>
      <rPr>
        <sz val="10"/>
        <rFont val="Arial"/>
        <family val="0"/>
        <charset val="1"/>
      </rPr>
      <t xml:space="preserve">Eden</t>
    </r>
  </si>
  <si>
    <r>
      <rPr>
        <sz val="10"/>
        <rFont val="Noto Sans CJK SC"/>
        <family val="2"/>
      </rPr>
      <t xml:space="preserve">이현우 </t>
    </r>
    <r>
      <rPr>
        <sz val="10"/>
        <rFont val="Arial"/>
        <family val="0"/>
        <charset val="1"/>
      </rPr>
      <t xml:space="preserve">Harry</t>
    </r>
  </si>
  <si>
    <r>
      <rPr>
        <sz val="10"/>
        <rFont val="Noto Sans CJK SC"/>
        <family val="2"/>
      </rPr>
      <t xml:space="preserve">문준연 </t>
    </r>
    <r>
      <rPr>
        <sz val="10"/>
        <rFont val="Arial"/>
        <family val="0"/>
        <charset val="1"/>
      </rPr>
      <t xml:space="preserve">Joon</t>
    </r>
  </si>
  <si>
    <t xml:space="preserve">10M/3D</t>
  </si>
  <si>
    <r>
      <rPr>
        <sz val="10"/>
        <rFont val="Noto Sans CJK SC"/>
        <family val="2"/>
      </rPr>
      <t xml:space="preserve">연하윤 </t>
    </r>
    <r>
      <rPr>
        <sz val="10"/>
        <rFont val="Arial"/>
        <family val="0"/>
        <charset val="1"/>
      </rPr>
      <t xml:space="preserve">Hayoon</t>
    </r>
  </si>
  <si>
    <r>
      <rPr>
        <sz val="10"/>
        <rFont val="Noto Sans CJK SC"/>
        <family val="2"/>
      </rPr>
      <t xml:space="preserve">고서윤 </t>
    </r>
    <r>
      <rPr>
        <sz val="10"/>
        <rFont val="Arial"/>
        <family val="0"/>
        <charset val="1"/>
      </rPr>
      <t xml:space="preserve">Jenny</t>
    </r>
  </si>
  <si>
    <r>
      <rPr>
        <sz val="10"/>
        <rFont val="Noto Sans CJK SC"/>
        <family val="2"/>
      </rPr>
      <t xml:space="preserve">전준백 </t>
    </r>
    <r>
      <rPr>
        <sz val="10"/>
        <rFont val="Arial"/>
        <family val="0"/>
        <charset val="1"/>
      </rPr>
      <t xml:space="preserve">Justin</t>
    </r>
  </si>
  <si>
    <t xml:space="preserve">10M</t>
  </si>
  <si>
    <r>
      <rPr>
        <sz val="10"/>
        <rFont val="Noto Sans CJK SC"/>
        <family val="2"/>
      </rPr>
      <t xml:space="preserve">백서아 </t>
    </r>
    <r>
      <rPr>
        <sz val="10"/>
        <rFont val="Arial"/>
        <family val="0"/>
        <charset val="1"/>
      </rPr>
      <t xml:space="preserve">Ruby</t>
    </r>
  </si>
  <si>
    <r>
      <rPr>
        <sz val="10"/>
        <rFont val="Noto Sans CJK SC"/>
        <family val="2"/>
      </rPr>
      <t xml:space="preserve">박세인 </t>
    </r>
    <r>
      <rPr>
        <sz val="10"/>
        <rFont val="Arial"/>
        <family val="0"/>
        <charset val="1"/>
      </rPr>
      <t xml:space="preserve">Sein</t>
    </r>
  </si>
  <si>
    <r>
      <rPr>
        <sz val="10"/>
        <rFont val="Noto Sans CJK SC"/>
        <family val="2"/>
      </rPr>
      <t xml:space="preserve">강하담 </t>
    </r>
    <r>
      <rPr>
        <sz val="10"/>
        <rFont val="Arial"/>
        <family val="0"/>
        <charset val="1"/>
      </rPr>
      <t xml:space="preserve">Joshua</t>
    </r>
  </si>
  <si>
    <r>
      <rPr>
        <sz val="10"/>
        <rFont val="Noto Sans CJK SC"/>
        <family val="2"/>
      </rPr>
      <t xml:space="preserve">박도하 </t>
    </r>
    <r>
      <rPr>
        <sz val="10"/>
        <rFont val="Arial"/>
        <family val="0"/>
        <charset val="1"/>
      </rPr>
      <t xml:space="preserve">Doha</t>
    </r>
  </si>
  <si>
    <t xml:space="preserve">1J</t>
  </si>
  <si>
    <r>
      <rPr>
        <sz val="10"/>
        <rFont val="Noto Sans CJK SC"/>
        <family val="2"/>
      </rPr>
      <t xml:space="preserve">신민하 </t>
    </r>
    <r>
      <rPr>
        <sz val="10"/>
        <rFont val="Arial"/>
        <family val="0"/>
        <charset val="1"/>
      </rPr>
      <t xml:space="preserve">Brooklyn</t>
    </r>
  </si>
  <si>
    <r>
      <rPr>
        <sz val="10"/>
        <rFont val="Noto Sans CJK SC"/>
        <family val="2"/>
      </rPr>
      <t xml:space="preserve">손별 </t>
    </r>
    <r>
      <rPr>
        <sz val="10"/>
        <rFont val="Arial"/>
        <family val="0"/>
        <charset val="1"/>
      </rPr>
      <t xml:space="preserve">Byeol</t>
    </r>
  </si>
  <si>
    <t xml:space="preserve">1M/2D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</si>
  <si>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</si>
  <si>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곽세린 </t>
    </r>
    <r>
      <rPr>
        <sz val="10"/>
        <rFont val="Arial"/>
        <family val="0"/>
        <charset val="1"/>
      </rPr>
      <t xml:space="preserve">Celine</t>
    </r>
  </si>
  <si>
    <t xml:space="preserve">10M/2D</t>
  </si>
  <si>
    <r>
      <rPr>
        <sz val="10"/>
        <rFont val="Noto Sans CJK SC"/>
        <family val="2"/>
      </rPr>
      <t xml:space="preserve">이예나 </t>
    </r>
    <r>
      <rPr>
        <sz val="10"/>
        <rFont val="Arial"/>
        <family val="0"/>
        <charset val="1"/>
      </rPr>
      <t xml:space="preserve">Eliana</t>
    </r>
  </si>
  <si>
    <r>
      <rPr>
        <sz val="10"/>
        <rFont val="Noto Sans CJK SC"/>
        <family val="2"/>
      </rPr>
      <t xml:space="preserve">이은재 </t>
    </r>
    <r>
      <rPr>
        <sz val="10"/>
        <rFont val="Arial"/>
        <family val="0"/>
        <charset val="1"/>
      </rPr>
      <t xml:space="preserve">Ellie</t>
    </r>
  </si>
  <si>
    <r>
      <rPr>
        <sz val="10"/>
        <rFont val="Noto Sans CJK SC"/>
        <family val="2"/>
      </rPr>
      <t xml:space="preserve">전지완 </t>
    </r>
    <r>
      <rPr>
        <sz val="10"/>
        <rFont val="Arial"/>
        <family val="0"/>
        <charset val="1"/>
      </rPr>
      <t xml:space="preserve">Eric</t>
    </r>
  </si>
  <si>
    <r>
      <rPr>
        <sz val="10"/>
        <rFont val="Noto Sans CJK SC"/>
        <family val="2"/>
      </rPr>
      <t xml:space="preserve">황이안 </t>
    </r>
    <r>
      <rPr>
        <sz val="10"/>
        <rFont val="Arial"/>
        <family val="0"/>
        <charset val="1"/>
      </rPr>
      <t xml:space="preserve">Ian</t>
    </r>
  </si>
  <si>
    <r>
      <rPr>
        <sz val="10"/>
        <rFont val="Noto Sans CJK SC"/>
        <family val="2"/>
      </rPr>
      <t xml:space="preserve">이예준 </t>
    </r>
    <r>
      <rPr>
        <sz val="10"/>
        <rFont val="Arial"/>
        <family val="0"/>
        <charset val="1"/>
      </rPr>
      <t xml:space="preserve">Isaac</t>
    </r>
  </si>
  <si>
    <t xml:space="preserve">설명 안 됨 ⚠</t>
  </si>
  <si>
    <r>
      <rPr>
        <sz val="10"/>
        <rFont val="Noto Sans CJK SC"/>
        <family val="2"/>
      </rPr>
      <t xml:space="preserve">고진우 </t>
    </r>
    <r>
      <rPr>
        <sz val="10"/>
        <rFont val="Arial"/>
        <family val="0"/>
        <charset val="1"/>
      </rPr>
      <t xml:space="preserve">Jinwoo</t>
    </r>
  </si>
  <si>
    <r>
      <rPr>
        <sz val="10"/>
        <rFont val="Noto Sans CJK SC"/>
        <family val="2"/>
      </rPr>
      <t xml:space="preserve">이신원 </t>
    </r>
    <r>
      <rPr>
        <sz val="10"/>
        <rFont val="Arial"/>
        <family val="0"/>
        <charset val="1"/>
      </rPr>
      <t xml:space="preserve">Max</t>
    </r>
  </si>
  <si>
    <r>
      <rPr>
        <sz val="10"/>
        <rFont val="Arial"/>
        <family val="0"/>
        <charset val="1"/>
      </rPr>
      <t xml:space="preserve">10%+20% (</t>
    </r>
    <r>
      <rPr>
        <sz val="10"/>
        <rFont val="Noto Sans CJK SC"/>
        <family val="2"/>
      </rPr>
      <t xml:space="preserve">곱셈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</si>
  <si>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기준가 </t>
    </r>
    <r>
      <rPr>
        <sz val="10"/>
        <rFont val="Arial"/>
        <family val="0"/>
        <charset val="1"/>
      </rPr>
      <t xml:space="preserve">426,316</t>
    </r>
  </si>
  <si>
    <r>
      <rPr>
        <sz val="10"/>
        <rFont val="Noto Sans CJK SC"/>
        <family val="2"/>
      </rPr>
      <t xml:space="preserve">노유겸 </t>
    </r>
    <r>
      <rPr>
        <sz val="10"/>
        <rFont val="Arial"/>
        <family val="0"/>
        <charset val="1"/>
      </rPr>
      <t xml:space="preserve">Noah</t>
    </r>
  </si>
  <si>
    <r>
      <rPr>
        <sz val="10"/>
        <rFont val="Noto Sans CJK SC"/>
        <family val="2"/>
      </rPr>
      <t xml:space="preserve">박세주 </t>
    </r>
    <r>
      <rPr>
        <sz val="10"/>
        <rFont val="Arial"/>
        <family val="0"/>
        <charset val="1"/>
      </rPr>
      <t xml:space="preserve">Reina</t>
    </r>
  </si>
  <si>
    <r>
      <rPr>
        <sz val="10"/>
        <rFont val="Noto Sans CJK SC"/>
        <family val="2"/>
      </rPr>
      <t xml:space="preserve">정서안 </t>
    </r>
    <r>
      <rPr>
        <sz val="10"/>
        <rFont val="Arial"/>
        <family val="0"/>
        <charset val="1"/>
      </rPr>
      <t xml:space="preserve">Sharlene</t>
    </r>
  </si>
  <si>
    <r>
      <rPr>
        <sz val="10"/>
        <rFont val="Noto Sans CJK SC"/>
        <family val="2"/>
      </rPr>
      <t xml:space="preserve">황라원 </t>
    </r>
    <r>
      <rPr>
        <sz val="10"/>
        <rFont val="Arial"/>
        <family val="0"/>
        <charset val="1"/>
      </rPr>
      <t xml:space="preserve">Sophia</t>
    </r>
  </si>
  <si>
    <r>
      <rPr>
        <sz val="10"/>
        <rFont val="Noto Sans CJK SC"/>
        <family val="2"/>
      </rPr>
      <t xml:space="preserve">이연우 </t>
    </r>
    <r>
      <rPr>
        <sz val="10"/>
        <rFont val="Arial"/>
        <family val="0"/>
        <charset val="1"/>
      </rPr>
      <t xml:space="preserve">Yeni</t>
    </r>
  </si>
  <si>
    <t xml:space="preserve">2J</t>
  </si>
  <si>
    <r>
      <rPr>
        <sz val="10"/>
        <rFont val="Noto Sans CJK SC"/>
        <family val="2"/>
      </rPr>
      <t xml:space="preserve">강서후 </t>
    </r>
    <r>
      <rPr>
        <sz val="10"/>
        <rFont val="Arial"/>
        <family val="0"/>
        <charset val="1"/>
      </rPr>
      <t xml:space="preserve">Seohu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</si>
  <si>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칸 없음</t>
    </r>
    <r>
      <rPr>
        <sz val="10"/>
        <rFont val="Arial"/>
        <family val="0"/>
        <charset val="1"/>
      </rPr>
      <t xml:space="preserve">)</t>
    </r>
  </si>
  <si>
    <t xml:space="preserve">20%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</si>
  <si>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</si>
  <si>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정겨울 </t>
    </r>
    <r>
      <rPr>
        <sz val="10"/>
        <rFont val="Arial"/>
        <family val="0"/>
        <charset val="1"/>
      </rPr>
      <t xml:space="preserve">Wynter</t>
    </r>
  </si>
  <si>
    <t xml:space="preserve">1M</t>
  </si>
  <si>
    <r>
      <rPr>
        <sz val="10"/>
        <rFont val="Noto Sans CJK SC"/>
        <family val="2"/>
      </rPr>
      <t xml:space="preserve">이서현 </t>
    </r>
    <r>
      <rPr>
        <sz val="10"/>
        <rFont val="Arial"/>
        <family val="0"/>
        <charset val="1"/>
      </rPr>
      <t xml:space="preserve">Elizabeth</t>
    </r>
  </si>
  <si>
    <r>
      <rPr>
        <sz val="10"/>
        <rFont val="Noto Sans CJK SC"/>
        <family val="2"/>
      </rPr>
      <t xml:space="preserve">황이준 </t>
    </r>
    <r>
      <rPr>
        <sz val="10"/>
        <rFont val="Arial"/>
        <family val="0"/>
        <charset val="1"/>
      </rPr>
      <t xml:space="preserve">June</t>
    </r>
  </si>
  <si>
    <r>
      <rPr>
        <sz val="10"/>
        <rFont val="Noto Sans CJK SC"/>
        <family val="2"/>
      </rPr>
      <t xml:space="preserve">정이엘 </t>
    </r>
    <r>
      <rPr>
        <sz val="10"/>
        <rFont val="Arial"/>
        <family val="0"/>
        <charset val="1"/>
      </rPr>
      <t xml:space="preserve">E.L</t>
    </r>
  </si>
  <si>
    <r>
      <rPr>
        <sz val="10"/>
        <rFont val="Noto Sans CJK SC"/>
        <family val="2"/>
      </rPr>
      <t xml:space="preserve">정레인 </t>
    </r>
    <r>
      <rPr>
        <sz val="10"/>
        <rFont val="Arial"/>
        <family val="0"/>
        <charset val="1"/>
      </rPr>
      <t xml:space="preserve">Rain</t>
    </r>
  </si>
  <si>
    <r>
      <rPr>
        <sz val="10"/>
        <rFont val="Noto Sans CJK SC"/>
        <family val="2"/>
      </rPr>
      <t xml:space="preserve">민노엘 </t>
    </r>
    <r>
      <rPr>
        <sz val="10"/>
        <rFont val="Arial"/>
        <family val="0"/>
        <charset val="1"/>
      </rPr>
      <t xml:space="preserve">Noel</t>
    </r>
  </si>
  <si>
    <r>
      <rPr>
        <sz val="10"/>
        <rFont val="Noto Sans CJK SC"/>
        <family val="2"/>
      </rPr>
      <t xml:space="preserve">강이제 </t>
    </r>
    <r>
      <rPr>
        <sz val="10"/>
        <rFont val="Arial"/>
        <family val="0"/>
        <charset val="1"/>
      </rPr>
      <t xml:space="preserve">I Je</t>
    </r>
  </si>
  <si>
    <r>
      <rPr>
        <sz val="10"/>
        <rFont val="Noto Sans CJK SC"/>
        <family val="2"/>
      </rPr>
      <t xml:space="preserve">강민진  </t>
    </r>
    <r>
      <rPr>
        <sz val="10"/>
        <rFont val="Arial"/>
        <family val="0"/>
        <charset val="1"/>
      </rPr>
      <t xml:space="preserve">MJ</t>
    </r>
  </si>
  <si>
    <r>
      <rPr>
        <sz val="10"/>
        <rFont val="Noto Sans CJK SC"/>
        <family val="2"/>
      </rPr>
      <t xml:space="preserve">기준가 </t>
    </r>
    <r>
      <rPr>
        <sz val="10"/>
        <rFont val="Arial"/>
        <family val="0"/>
        <charset val="1"/>
      </rPr>
      <t xml:space="preserve">475,000</t>
    </r>
  </si>
  <si>
    <r>
      <rPr>
        <sz val="10"/>
        <rFont val="Noto Sans CJK SC"/>
        <family val="2"/>
      </rPr>
      <t xml:space="preserve">이진용 </t>
    </r>
    <r>
      <rPr>
        <sz val="10"/>
        <rFont val="Arial"/>
        <family val="0"/>
        <charset val="1"/>
      </rPr>
      <t xml:space="preserve">Jeanyong</t>
    </r>
  </si>
  <si>
    <r>
      <rPr>
        <sz val="10"/>
        <rFont val="Noto Sans CJK SC"/>
        <family val="2"/>
      </rPr>
      <t xml:space="preserve">고유준  </t>
    </r>
    <r>
      <rPr>
        <sz val="10"/>
        <rFont val="Arial"/>
        <family val="0"/>
        <charset val="1"/>
      </rPr>
      <t xml:space="preserve">June</t>
    </r>
  </si>
  <si>
    <t xml:space="preserve">2K</t>
  </si>
  <si>
    <r>
      <rPr>
        <sz val="10"/>
        <rFont val="Noto Sans CJK SC"/>
        <family val="2"/>
      </rPr>
      <t xml:space="preserve">이준원 </t>
    </r>
    <r>
      <rPr>
        <sz val="10"/>
        <rFont val="Arial"/>
        <family val="0"/>
        <charset val="1"/>
      </rPr>
      <t xml:space="preserve">Jun</t>
    </r>
  </si>
  <si>
    <r>
      <rPr>
        <sz val="10"/>
        <rFont val="Noto Sans CJK SC"/>
        <family val="2"/>
      </rPr>
      <t xml:space="preserve">최서아 </t>
    </r>
    <r>
      <rPr>
        <sz val="10"/>
        <rFont val="Arial"/>
        <family val="0"/>
        <charset val="1"/>
      </rPr>
      <t xml:space="preserve">Sarah</t>
    </r>
  </si>
  <si>
    <r>
      <rPr>
        <sz val="10"/>
        <rFont val="Noto Sans CJK SC"/>
        <family val="2"/>
      </rPr>
      <t xml:space="preserve">정세진 </t>
    </r>
    <r>
      <rPr>
        <sz val="10"/>
        <rFont val="Arial"/>
        <family val="0"/>
        <charset val="1"/>
      </rPr>
      <t xml:space="preserve">Emma</t>
    </r>
  </si>
  <si>
    <r>
      <rPr>
        <sz val="10"/>
        <rFont val="Noto Sans CJK SC"/>
        <family val="2"/>
      </rPr>
      <t xml:space="preserve">차봄  </t>
    </r>
    <r>
      <rPr>
        <sz val="10"/>
        <rFont val="Arial"/>
        <family val="0"/>
        <charset val="1"/>
      </rPr>
      <t xml:space="preserve">Bom</t>
    </r>
  </si>
  <si>
    <r>
      <rPr>
        <sz val="10"/>
        <rFont val="Noto Sans CJK SC"/>
        <family val="2"/>
      </rPr>
      <t xml:space="preserve">이주원  </t>
    </r>
    <r>
      <rPr>
        <sz val="10"/>
        <rFont val="Arial"/>
        <family val="0"/>
        <charset val="1"/>
      </rPr>
      <t xml:space="preserve">Benny</t>
    </r>
  </si>
  <si>
    <r>
      <rPr>
        <sz val="10"/>
        <rFont val="Noto Sans CJK SC"/>
        <family val="2"/>
      </rPr>
      <t xml:space="preserve">지수 </t>
    </r>
    <r>
      <rPr>
        <sz val="10"/>
        <rFont val="Arial"/>
        <family val="0"/>
        <charset val="1"/>
      </rPr>
      <t xml:space="preserve">Soo</t>
    </r>
  </si>
  <si>
    <r>
      <rPr>
        <sz val="10"/>
        <rFont val="Noto Sans CJK SC"/>
        <family val="2"/>
      </rPr>
      <t xml:space="preserve">이준서 </t>
    </r>
    <r>
      <rPr>
        <sz val="10"/>
        <rFont val="Arial"/>
        <family val="0"/>
        <charset val="1"/>
      </rPr>
      <t xml:space="preserve">Justin</t>
    </r>
  </si>
  <si>
    <r>
      <rPr>
        <sz val="10"/>
        <rFont val="Noto Sans CJK SC"/>
        <family val="2"/>
      </rPr>
      <t xml:space="preserve">임주한 </t>
    </r>
    <r>
      <rPr>
        <sz val="10"/>
        <rFont val="Arial"/>
        <family val="0"/>
        <charset val="1"/>
      </rPr>
      <t xml:space="preserve">Juhan</t>
    </r>
  </si>
  <si>
    <r>
      <rPr>
        <sz val="10"/>
        <rFont val="Noto Sans CJK SC"/>
        <family val="2"/>
      </rPr>
      <t xml:space="preserve">이예온 </t>
    </r>
    <r>
      <rPr>
        <sz val="10"/>
        <rFont val="Arial"/>
        <family val="0"/>
        <charset val="1"/>
      </rPr>
      <t xml:space="preserve">Grace</t>
    </r>
  </si>
  <si>
    <t xml:space="preserve">40%</t>
  </si>
  <si>
    <r>
      <rPr>
        <sz val="10"/>
        <rFont val="Noto Sans CJK SC"/>
        <family val="2"/>
      </rPr>
      <t xml:space="preserve">김아린 </t>
    </r>
    <r>
      <rPr>
        <sz val="10"/>
        <rFont val="Arial"/>
        <family val="0"/>
        <charset val="1"/>
      </rPr>
      <t xml:space="preserve">Alyn</t>
    </r>
  </si>
  <si>
    <t xml:space="preserve">2Y</t>
  </si>
  <si>
    <r>
      <rPr>
        <sz val="10"/>
        <rFont val="Noto Sans CJK SC"/>
        <family val="2"/>
      </rPr>
      <t xml:space="preserve">임예나 </t>
    </r>
    <r>
      <rPr>
        <sz val="10"/>
        <rFont val="Arial"/>
        <family val="0"/>
        <charset val="1"/>
      </rPr>
      <t xml:space="preserve">Grace</t>
    </r>
  </si>
  <si>
    <r>
      <rPr>
        <sz val="10"/>
        <rFont val="Noto Sans CJK SC"/>
        <family val="2"/>
      </rPr>
      <t xml:space="preserve">마야 다우닝 </t>
    </r>
    <r>
      <rPr>
        <sz val="10"/>
        <rFont val="Arial"/>
        <family val="0"/>
        <charset val="1"/>
      </rPr>
      <t xml:space="preserve">Maya</t>
    </r>
  </si>
  <si>
    <r>
      <rPr>
        <sz val="10"/>
        <rFont val="Noto Sans CJK SC"/>
        <family val="2"/>
      </rPr>
      <t xml:space="preserve">임다현 </t>
    </r>
    <r>
      <rPr>
        <sz val="10"/>
        <rFont val="Arial"/>
        <family val="0"/>
        <charset val="1"/>
      </rPr>
      <t xml:space="preserve">Diane</t>
    </r>
  </si>
  <si>
    <r>
      <rPr>
        <sz val="10"/>
        <rFont val="Noto Sans CJK SC"/>
        <family val="2"/>
      </rPr>
      <t xml:space="preserve">김현수 </t>
    </r>
    <r>
      <rPr>
        <sz val="10"/>
        <rFont val="Arial"/>
        <family val="0"/>
        <charset val="1"/>
      </rPr>
      <t xml:space="preserve">Hans</t>
    </r>
  </si>
  <si>
    <r>
      <rPr>
        <sz val="10"/>
        <rFont val="Noto Sans CJK SC"/>
        <family val="2"/>
      </rPr>
      <t xml:space="preserve">민송희 </t>
    </r>
    <r>
      <rPr>
        <sz val="10"/>
        <rFont val="Arial"/>
        <family val="0"/>
        <charset val="1"/>
      </rPr>
      <t xml:space="preserve">Sophia</t>
    </r>
  </si>
  <si>
    <r>
      <rPr>
        <sz val="10"/>
        <rFont val="Noto Sans CJK SC"/>
        <family val="2"/>
      </rPr>
      <t xml:space="preserve">이서아 </t>
    </r>
    <r>
      <rPr>
        <sz val="10"/>
        <rFont val="Arial"/>
        <family val="0"/>
        <charset val="1"/>
      </rPr>
      <t xml:space="preserve">Vivian</t>
    </r>
  </si>
  <si>
    <r>
      <rPr>
        <sz val="10"/>
        <rFont val="Noto Sans CJK SC"/>
        <family val="2"/>
      </rPr>
      <t xml:space="preserve">홍서형 </t>
    </r>
    <r>
      <rPr>
        <sz val="10"/>
        <rFont val="Arial"/>
        <family val="0"/>
        <charset val="1"/>
      </rPr>
      <t xml:space="preserve">Danny</t>
    </r>
  </si>
  <si>
    <r>
      <rPr>
        <sz val="10"/>
        <rFont val="Noto Sans CJK SC"/>
        <family val="2"/>
      </rPr>
      <t xml:space="preserve">황시원 </t>
    </r>
    <r>
      <rPr>
        <sz val="10"/>
        <rFont val="Arial"/>
        <family val="0"/>
        <charset val="1"/>
      </rPr>
      <t xml:space="preserve">Sean</t>
    </r>
  </si>
  <si>
    <r>
      <rPr>
        <sz val="10"/>
        <rFont val="Noto Sans CJK SC"/>
        <family val="2"/>
      </rPr>
      <t xml:space="preserve">엄하율 </t>
    </r>
    <r>
      <rPr>
        <sz val="10"/>
        <rFont val="Arial"/>
        <family val="0"/>
        <charset val="1"/>
      </rPr>
      <t xml:space="preserve">Hayule</t>
    </r>
  </si>
  <si>
    <r>
      <rPr>
        <sz val="10"/>
        <rFont val="Noto Sans CJK SC"/>
        <family val="2"/>
      </rPr>
      <t xml:space="preserve">유한솔 </t>
    </r>
    <r>
      <rPr>
        <sz val="10"/>
        <rFont val="Arial"/>
        <family val="0"/>
        <charset val="1"/>
      </rPr>
      <t xml:space="preserve">Kai</t>
    </r>
  </si>
  <si>
    <r>
      <rPr>
        <sz val="10"/>
        <rFont val="Noto Sans CJK SC"/>
        <family val="2"/>
      </rPr>
      <t xml:space="preserve">윤별  </t>
    </r>
    <r>
      <rPr>
        <sz val="10"/>
        <rFont val="Arial"/>
        <family val="0"/>
        <charset val="1"/>
      </rPr>
      <t xml:space="preserve">Stella</t>
    </r>
  </si>
  <si>
    <r>
      <rPr>
        <sz val="10"/>
        <rFont val="Noto Sans CJK SC"/>
        <family val="2"/>
      </rPr>
      <t xml:space="preserve">이상유 </t>
    </r>
    <r>
      <rPr>
        <sz val="10"/>
        <rFont val="Arial"/>
        <family val="0"/>
        <charset val="1"/>
      </rPr>
      <t xml:space="preserve">Sangyoo</t>
    </r>
  </si>
  <si>
    <t xml:space="preserve">3A</t>
  </si>
  <si>
    <r>
      <rPr>
        <sz val="10"/>
        <rFont val="Noto Sans CJK SC"/>
        <family val="2"/>
      </rPr>
      <t xml:space="preserve">김서이 </t>
    </r>
    <r>
      <rPr>
        <sz val="10"/>
        <rFont val="Arial"/>
        <family val="0"/>
        <charset val="1"/>
      </rPr>
      <t xml:space="preserve">Victoria</t>
    </r>
  </si>
  <si>
    <r>
      <rPr>
        <sz val="10"/>
        <rFont val="Noto Sans CJK SC"/>
        <family val="2"/>
      </rPr>
      <t xml:space="preserve">김지민 </t>
    </r>
    <r>
      <rPr>
        <sz val="10"/>
        <rFont val="Arial"/>
        <family val="0"/>
        <charset val="1"/>
      </rPr>
      <t xml:space="preserve">Jimin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</si>
  <si>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</si>
  <si>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유재이 </t>
    </r>
    <r>
      <rPr>
        <sz val="10"/>
        <rFont val="Arial"/>
        <family val="0"/>
        <charset val="1"/>
      </rPr>
      <t xml:space="preserve">Jae Yi</t>
    </r>
  </si>
  <si>
    <t xml:space="preserve">30%</t>
  </si>
  <si>
    <r>
      <rPr>
        <sz val="10"/>
        <rFont val="Noto Sans CJK SC"/>
        <family val="2"/>
      </rPr>
      <t xml:space="preserve">이세은 </t>
    </r>
    <r>
      <rPr>
        <sz val="10"/>
        <rFont val="Arial"/>
        <family val="0"/>
        <charset val="1"/>
      </rPr>
      <t xml:space="preserve">Lina</t>
    </r>
  </si>
  <si>
    <r>
      <rPr>
        <sz val="10"/>
        <rFont val="Noto Sans CJK SC"/>
        <family val="2"/>
      </rPr>
      <t xml:space="preserve">임선우 </t>
    </r>
    <r>
      <rPr>
        <sz val="10"/>
        <rFont val="Arial"/>
        <family val="0"/>
        <charset val="1"/>
      </rPr>
      <t xml:space="preserve">Sunwoo</t>
    </r>
  </si>
  <si>
    <r>
      <rPr>
        <sz val="10"/>
        <rFont val="Noto Sans CJK SC"/>
        <family val="2"/>
      </rPr>
      <t xml:space="preserve">정리사 </t>
    </r>
    <r>
      <rPr>
        <sz val="10"/>
        <rFont val="Arial"/>
        <family val="0"/>
        <charset val="1"/>
      </rPr>
      <t xml:space="preserve">Lisa</t>
    </r>
  </si>
  <si>
    <r>
      <rPr>
        <sz val="10"/>
        <rFont val="Noto Sans CJK SC"/>
        <family val="2"/>
      </rPr>
      <t xml:space="preserve">정서우 </t>
    </r>
    <r>
      <rPr>
        <sz val="10"/>
        <rFont val="Arial"/>
        <family val="0"/>
        <charset val="1"/>
      </rPr>
      <t xml:space="preserve">Stella</t>
    </r>
  </si>
  <si>
    <t xml:space="preserve">5M</t>
  </si>
  <si>
    <r>
      <rPr>
        <sz val="10"/>
        <rFont val="Noto Sans CJK SC"/>
        <family val="2"/>
      </rPr>
      <t xml:space="preserve">정하임 </t>
    </r>
    <r>
      <rPr>
        <sz val="10"/>
        <rFont val="Arial"/>
        <family val="0"/>
        <charset val="1"/>
      </rPr>
      <t xml:space="preserve">Hayim</t>
    </r>
  </si>
  <si>
    <r>
      <rPr>
        <sz val="10"/>
        <rFont val="Noto Sans CJK SC"/>
        <family val="2"/>
      </rPr>
      <t xml:space="preserve">강하라 </t>
    </r>
    <r>
      <rPr>
        <sz val="10"/>
        <rFont val="Arial"/>
        <family val="0"/>
        <charset val="1"/>
      </rPr>
      <t xml:space="preserve">Hara</t>
    </r>
  </si>
  <si>
    <r>
      <rPr>
        <sz val="10"/>
        <rFont val="Noto Sans CJK SC"/>
        <family val="2"/>
      </rPr>
      <t xml:space="preserve">황준호 </t>
    </r>
    <r>
      <rPr>
        <sz val="10"/>
        <rFont val="Arial"/>
        <family val="0"/>
        <charset val="1"/>
      </rPr>
      <t xml:space="preserve">June</t>
    </r>
  </si>
  <si>
    <r>
      <rPr>
        <sz val="10"/>
        <rFont val="Noto Sans CJK SC"/>
        <family val="2"/>
      </rPr>
      <t xml:space="preserve">조장훈 </t>
    </r>
    <r>
      <rPr>
        <sz val="10"/>
        <rFont val="Arial"/>
        <family val="0"/>
        <charset val="1"/>
      </rPr>
      <t xml:space="preserve">Janghoon</t>
    </r>
  </si>
  <si>
    <r>
      <rPr>
        <sz val="10"/>
        <rFont val="Noto Sans CJK SC"/>
        <family val="2"/>
      </rPr>
      <t xml:space="preserve">권수호 </t>
    </r>
    <r>
      <rPr>
        <sz val="10"/>
        <rFont val="Arial"/>
        <family val="0"/>
        <charset val="1"/>
      </rPr>
      <t xml:space="preserve">Teddy</t>
    </r>
  </si>
  <si>
    <r>
      <rPr>
        <sz val="10"/>
        <rFont val="Noto Sans CJK SC"/>
        <family val="2"/>
      </rPr>
      <t xml:space="preserve">장윤아 </t>
    </r>
    <r>
      <rPr>
        <sz val="10"/>
        <rFont val="Arial"/>
        <family val="0"/>
        <charset val="1"/>
      </rPr>
      <t xml:space="preserve">Yuna</t>
    </r>
  </si>
  <si>
    <t xml:space="preserve">3J</t>
  </si>
  <si>
    <r>
      <rPr>
        <sz val="10"/>
        <rFont val="Noto Sans CJK SC"/>
        <family val="2"/>
      </rPr>
      <t xml:space="preserve">곽호율 </t>
    </r>
    <r>
      <rPr>
        <sz val="10"/>
        <rFont val="Arial"/>
        <family val="0"/>
        <charset val="1"/>
      </rPr>
      <t xml:space="preserve">James</t>
    </r>
  </si>
  <si>
    <r>
      <rPr>
        <sz val="10"/>
        <rFont val="Noto Sans CJK SC"/>
        <family val="2"/>
      </rPr>
      <t xml:space="preserve">홍동은 </t>
    </r>
    <r>
      <rPr>
        <sz val="10"/>
        <rFont val="Arial"/>
        <family val="0"/>
        <charset val="1"/>
      </rPr>
      <t xml:space="preserve">Jaden</t>
    </r>
  </si>
  <si>
    <r>
      <rPr>
        <sz val="10"/>
        <rFont val="Noto Sans CJK SC"/>
        <family val="2"/>
      </rPr>
      <t xml:space="preserve">김태오 </t>
    </r>
    <r>
      <rPr>
        <sz val="10"/>
        <rFont val="Arial"/>
        <family val="0"/>
        <charset val="1"/>
      </rPr>
      <t xml:space="preserve">Theo</t>
    </r>
  </si>
  <si>
    <r>
      <rPr>
        <sz val="10"/>
        <rFont val="Noto Sans CJK SC"/>
        <family val="2"/>
      </rPr>
      <t xml:space="preserve">정채린 </t>
    </r>
    <r>
      <rPr>
        <sz val="10"/>
        <rFont val="Arial"/>
        <family val="0"/>
        <charset val="1"/>
      </rPr>
      <t xml:space="preserve">Serena</t>
    </r>
  </si>
  <si>
    <r>
      <rPr>
        <sz val="10"/>
        <rFont val="Noto Sans CJK SC"/>
        <family val="2"/>
      </rPr>
      <t xml:space="preserve">김태리  </t>
    </r>
    <r>
      <rPr>
        <sz val="10"/>
        <rFont val="Arial"/>
        <family val="0"/>
        <charset val="1"/>
      </rPr>
      <t xml:space="preserve">Terry</t>
    </r>
  </si>
  <si>
    <r>
      <rPr>
        <sz val="10"/>
        <rFont val="Noto Sans CJK SC"/>
        <family val="2"/>
      </rPr>
      <t xml:space="preserve">임하임 </t>
    </r>
    <r>
      <rPr>
        <sz val="10"/>
        <rFont val="Arial"/>
        <family val="0"/>
        <charset val="1"/>
      </rPr>
      <t xml:space="preserve">Blaire</t>
    </r>
  </si>
  <si>
    <r>
      <rPr>
        <sz val="10"/>
        <rFont val="Noto Sans CJK SC"/>
        <family val="2"/>
      </rPr>
      <t xml:space="preserve">남가인 </t>
    </r>
    <r>
      <rPr>
        <sz val="10"/>
        <rFont val="Arial"/>
        <family val="0"/>
        <charset val="1"/>
      </rPr>
      <t xml:space="preserve">Gahin</t>
    </r>
  </si>
  <si>
    <r>
      <rPr>
        <sz val="10"/>
        <rFont val="Noto Sans CJK SC"/>
        <family val="2"/>
      </rPr>
      <t xml:space="preserve">김서진 </t>
    </r>
    <r>
      <rPr>
        <sz val="10"/>
        <rFont val="Arial"/>
        <family val="0"/>
        <charset val="1"/>
      </rPr>
      <t xml:space="preserve">Seojin</t>
    </r>
  </si>
  <si>
    <r>
      <rPr>
        <sz val="10"/>
        <rFont val="Noto Sans CJK SC"/>
        <family val="2"/>
      </rPr>
      <t xml:space="preserve">고이건 </t>
    </r>
    <r>
      <rPr>
        <sz val="10"/>
        <rFont val="Arial"/>
        <family val="0"/>
        <charset val="1"/>
      </rPr>
      <t xml:space="preserve">Eagon</t>
    </r>
  </si>
  <si>
    <r>
      <rPr>
        <sz val="10"/>
        <rFont val="Noto Sans CJK SC"/>
        <family val="2"/>
      </rPr>
      <t xml:space="preserve">김동하 </t>
    </r>
    <r>
      <rPr>
        <sz val="10"/>
        <rFont val="Arial"/>
        <family val="0"/>
        <charset val="1"/>
      </rPr>
      <t xml:space="preserve">Dongha</t>
    </r>
  </si>
  <si>
    <r>
      <rPr>
        <sz val="10"/>
        <rFont val="Noto Sans CJK SC"/>
        <family val="2"/>
      </rPr>
      <t xml:space="preserve">박예서 </t>
    </r>
    <r>
      <rPr>
        <sz val="10"/>
        <rFont val="Arial"/>
        <family val="0"/>
        <charset val="1"/>
      </rPr>
      <t xml:space="preserve">Yeseo</t>
    </r>
  </si>
  <si>
    <r>
      <rPr>
        <sz val="10"/>
        <rFont val="Noto Sans CJK SC"/>
        <family val="2"/>
      </rPr>
      <t xml:space="preserve">이도헌 </t>
    </r>
    <r>
      <rPr>
        <sz val="10"/>
        <rFont val="Arial"/>
        <family val="0"/>
        <charset val="1"/>
      </rPr>
      <t xml:space="preserve">Do Hun</t>
    </r>
  </si>
  <si>
    <r>
      <rPr>
        <sz val="10"/>
        <rFont val="Noto Sans CJK SC"/>
        <family val="2"/>
      </rPr>
      <t xml:space="preserve">김서연  </t>
    </r>
    <r>
      <rPr>
        <sz val="10"/>
        <rFont val="Arial"/>
        <family val="0"/>
        <charset val="1"/>
      </rPr>
      <t xml:space="preserve">Chelsea</t>
    </r>
  </si>
  <si>
    <r>
      <rPr>
        <sz val="10"/>
        <rFont val="Noto Sans CJK SC"/>
        <family val="2"/>
      </rPr>
      <t xml:space="preserve">윤노아 </t>
    </r>
    <r>
      <rPr>
        <sz val="10"/>
        <rFont val="Arial"/>
        <family val="0"/>
        <charset val="1"/>
      </rPr>
      <t xml:space="preserve">Noah</t>
    </r>
  </si>
  <si>
    <r>
      <rPr>
        <sz val="10"/>
        <rFont val="Noto Sans CJK SC"/>
        <family val="2"/>
      </rPr>
      <t xml:space="preserve">김재이 </t>
    </r>
    <r>
      <rPr>
        <sz val="10"/>
        <rFont val="Arial"/>
        <family val="0"/>
        <charset val="1"/>
      </rPr>
      <t xml:space="preserve">Jae E</t>
    </r>
  </si>
  <si>
    <r>
      <rPr>
        <sz val="10"/>
        <rFont val="Noto Sans CJK SC"/>
        <family val="2"/>
      </rPr>
      <t xml:space="preserve">최리안 </t>
    </r>
    <r>
      <rPr>
        <sz val="10"/>
        <rFont val="Arial"/>
        <family val="0"/>
        <charset val="1"/>
      </rPr>
      <t xml:space="preserve">Lian</t>
    </r>
  </si>
  <si>
    <r>
      <rPr>
        <b val="true"/>
        <sz val="10"/>
        <rFont val="Noto Sans CJK SC"/>
        <family val="2"/>
      </rPr>
      <t xml:space="preserve">노란 줄 </t>
    </r>
    <r>
      <rPr>
        <b val="true"/>
        <sz val="10"/>
        <rFont val="Arial"/>
        <family val="0"/>
        <charset val="1"/>
      </rPr>
      <t xml:space="preserve">= 1</t>
    </r>
    <r>
      <rPr>
        <b val="true"/>
        <sz val="10"/>
        <rFont val="Noto Sans CJK SC"/>
        <family val="2"/>
      </rPr>
      <t xml:space="preserve">학년 규칙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기준가 </t>
    </r>
    <r>
      <rPr>
        <b val="true"/>
        <sz val="10"/>
        <rFont val="Arial"/>
        <family val="0"/>
        <charset val="1"/>
      </rPr>
      <t xml:space="preserve">2,750,000 × </t>
    </r>
    <r>
      <rPr>
        <b val="true"/>
        <sz val="10"/>
        <rFont val="Noto Sans CJK SC"/>
        <family val="2"/>
      </rPr>
      <t xml:space="preserve">유치부졸업생 </t>
    </r>
    <r>
      <rPr>
        <b val="true"/>
        <sz val="10"/>
        <rFont val="Arial"/>
        <family val="0"/>
        <charset val="1"/>
      </rPr>
      <t xml:space="preserve">10% × </t>
    </r>
    <r>
      <rPr>
        <b val="true"/>
        <sz val="10"/>
        <rFont val="Noto Sans CJK SC"/>
        <family val="2"/>
      </rPr>
      <t xml:space="preserve">형제등록 </t>
    </r>
    <r>
      <rPr>
        <b val="true"/>
        <sz val="10"/>
        <rFont val="Arial"/>
        <family val="0"/>
        <charset val="1"/>
      </rPr>
      <t xml:space="preserve">10% × </t>
    </r>
    <r>
      <rPr>
        <b val="true"/>
        <sz val="10"/>
        <rFont val="Noto Sans CJK SC"/>
        <family val="2"/>
      </rPr>
      <t xml:space="preserve">연납 </t>
    </r>
    <r>
      <rPr>
        <b val="true"/>
        <sz val="10"/>
        <rFont val="Arial"/>
        <family val="0"/>
        <charset val="1"/>
      </rPr>
      <t xml:space="preserve">10%, </t>
    </r>
    <r>
      <rPr>
        <b val="true"/>
        <sz val="10"/>
        <rFont val="Noto Sans CJK SC"/>
        <family val="2"/>
      </rPr>
      <t xml:space="preserve">곱셈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으로 설명되지 않는 학생입니다</t>
    </r>
    <r>
      <rPr>
        <b val="true"/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</si>
  <si>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2·3</t>
    </r>
    <r>
      <rPr>
        <sz val="10"/>
        <rFont val="Noto Sans CJK SC"/>
        <family val="2"/>
      </rPr>
      <t xml:space="preserve">학년 시트에는 「특이사항」 칸 자체가 없어 어떤 할인인지 시트만으로는 가릴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배수만 적었습니다</t>
    </r>
    <r>
      <rPr>
        <sz val="10"/>
        <rFont val="Arial"/>
        <family val="0"/>
        <charset val="1"/>
      </rPr>
      <t xml:space="preserve">.</t>
    </r>
  </si>
  <si>
    <r>
      <rPr>
        <i val="true"/>
        <sz val="10"/>
        <rFont val="Noto Sans CJK SC"/>
        <family val="2"/>
      </rPr>
      <t xml:space="preserve">출처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부이사장님 제공 「</t>
    </r>
    <r>
      <rPr>
        <i val="true"/>
        <sz val="10"/>
        <rFont val="Arial"/>
        <family val="0"/>
        <charset val="1"/>
      </rPr>
      <t xml:space="preserve">GIA Micro TPC 25-26.xlsx</t>
    </r>
    <r>
      <rPr>
        <i val="true"/>
        <sz val="10"/>
        <rFont val="Noto Sans CJK SC"/>
        <family val="2"/>
      </rPr>
      <t xml:space="preserve">」 의 반별 시트</t>
    </r>
    <r>
      <rPr>
        <i val="true"/>
        <sz val="10"/>
        <rFont val="Arial"/>
        <family val="0"/>
        <charset val="1"/>
      </rPr>
      <t xml:space="preserve">(1A~3J).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</si>
</sst>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4155"/>
        <bgColor rgb="FF333399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4" min="12" style="0" width="12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s">
        <v>17</v>
      </c>
      <c r="C2" s="3" t="s">
        <v>18</v>
      </c>
      <c r="D2" s="3" t="s">
        <v>19</v>
      </c>
      <c r="E2" s="2" t="s">
        <v>20</v>
      </c>
      <c r="F2" s="4" t="n">
        <v>2375000</v>
      </c>
      <c r="G2" s="4" t="n">
        <v>2500000</v>
      </c>
      <c r="H2" s="5" t="n">
        <f aca="false">IF(G2=0,"",F2/G2)</f>
        <v>0.95</v>
      </c>
      <c r="I2" s="2" t="s">
        <v>21</v>
      </c>
      <c r="J2" s="4" t="n">
        <v>2475000</v>
      </c>
      <c r="K2" s="2" t="n">
        <f aca="false">F2-J2</f>
        <v>-100000</v>
      </c>
      <c r="L2" s="2" t="s">
        <v>22</v>
      </c>
      <c r="M2" s="4" t="n">
        <v>405000</v>
      </c>
      <c r="N2" s="2" t="s">
        <v>23</v>
      </c>
      <c r="O2" s="2" t="s">
        <v>24</v>
      </c>
      <c r="P2" s="4" t="n">
        <v>5000000</v>
      </c>
    </row>
    <row r="3" customFormat="false" ht="15" hidden="false" customHeight="false" outlineLevel="0" collapsed="false">
      <c r="A3" s="6" t="s">
        <v>16</v>
      </c>
      <c r="B3" s="7" t="s">
        <v>17</v>
      </c>
      <c r="C3" s="7" t="s">
        <v>25</v>
      </c>
      <c r="D3" s="7" t="s">
        <v>26</v>
      </c>
      <c r="E3" s="6" t="s">
        <v>20</v>
      </c>
      <c r="F3" s="8" t="n">
        <v>2227500</v>
      </c>
      <c r="G3" s="8" t="n">
        <v>2750000</v>
      </c>
      <c r="H3" s="9" t="n">
        <f aca="false">IF(G3=0,"",F3/G3)</f>
        <v>0.81</v>
      </c>
      <c r="I3" s="6" t="s">
        <v>27</v>
      </c>
      <c r="J3" s="8" t="n">
        <v>2227500</v>
      </c>
      <c r="K3" s="6" t="n">
        <f aca="false">F3-J3</f>
        <v>0</v>
      </c>
      <c r="L3" s="6" t="s">
        <v>22</v>
      </c>
      <c r="M3" s="8" t="n">
        <v>405000</v>
      </c>
      <c r="N3" s="6" t="s">
        <v>23</v>
      </c>
      <c r="O3" s="6" t="s">
        <v>24</v>
      </c>
      <c r="P3" s="8" t="n">
        <v>3000000</v>
      </c>
    </row>
    <row r="4" customFormat="false" ht="15" hidden="false" customHeight="false" outlineLevel="0" collapsed="false">
      <c r="A4" s="6" t="s">
        <v>16</v>
      </c>
      <c r="B4" s="7" t="s">
        <v>17</v>
      </c>
      <c r="C4" s="7" t="s">
        <v>28</v>
      </c>
      <c r="D4" s="7" t="s">
        <v>26</v>
      </c>
      <c r="E4" s="6" t="s">
        <v>29</v>
      </c>
      <c r="F4" s="8" t="n">
        <v>2227500</v>
      </c>
      <c r="G4" s="8" t="n">
        <v>2750000</v>
      </c>
      <c r="H4" s="9" t="n">
        <f aca="false">IF(G4=0,"",F4/G4)</f>
        <v>0.81</v>
      </c>
      <c r="I4" s="6" t="s">
        <v>27</v>
      </c>
      <c r="J4" s="8" t="n">
        <v>2227500</v>
      </c>
      <c r="K4" s="6" t="n">
        <f aca="false">F4-J4</f>
        <v>0</v>
      </c>
      <c r="L4" s="6" t="s">
        <v>30</v>
      </c>
      <c r="M4" s="8" t="n">
        <v>427500</v>
      </c>
      <c r="N4" s="6" t="s">
        <v>23</v>
      </c>
      <c r="O4" s="6" t="s">
        <v>31</v>
      </c>
      <c r="P4" s="8" t="n">
        <v>3000000</v>
      </c>
    </row>
    <row r="5" customFormat="false" ht="15" hidden="false" customHeight="false" outlineLevel="0" collapsed="false">
      <c r="A5" s="2" t="s">
        <v>16</v>
      </c>
      <c r="B5" s="3" t="s">
        <v>17</v>
      </c>
      <c r="C5" s="3" t="s">
        <v>32</v>
      </c>
      <c r="D5" s="2" t="s">
        <v>33</v>
      </c>
      <c r="E5" s="2" t="s">
        <v>29</v>
      </c>
      <c r="F5" s="4" t="n">
        <v>2375000</v>
      </c>
      <c r="G5" s="4" t="n">
        <v>2500000</v>
      </c>
      <c r="H5" s="5" t="n">
        <f aca="false">IF(G5=0,"",F5/G5)</f>
        <v>0.95</v>
      </c>
      <c r="I5" s="2" t="s">
        <v>21</v>
      </c>
      <c r="J5" s="4" t="n">
        <v>2475000</v>
      </c>
      <c r="K5" s="2" t="n">
        <f aca="false">F5-J5</f>
        <v>-100000</v>
      </c>
      <c r="L5" s="2" t="s">
        <v>34</v>
      </c>
      <c r="M5" s="4" t="n">
        <v>0</v>
      </c>
      <c r="N5" s="2"/>
      <c r="O5" s="2"/>
      <c r="P5" s="4" t="n">
        <v>5000000</v>
      </c>
    </row>
    <row r="6" customFormat="false" ht="15" hidden="false" customHeight="false" outlineLevel="0" collapsed="false">
      <c r="A6" s="6" t="s">
        <v>16</v>
      </c>
      <c r="B6" s="7" t="s">
        <v>17</v>
      </c>
      <c r="C6" s="7" t="s">
        <v>35</v>
      </c>
      <c r="D6" s="7" t="s">
        <v>26</v>
      </c>
      <c r="E6" s="6" t="s">
        <v>29</v>
      </c>
      <c r="F6" s="8" t="n">
        <v>2227500</v>
      </c>
      <c r="G6" s="8" t="n">
        <v>2750000</v>
      </c>
      <c r="H6" s="9" t="n">
        <f aca="false">IF(G6=0,"",F6/G6)</f>
        <v>0.81</v>
      </c>
      <c r="I6" s="6" t="s">
        <v>27</v>
      </c>
      <c r="J6" s="8" t="n">
        <v>2227500</v>
      </c>
      <c r="K6" s="6" t="n">
        <f aca="false">F6-J6</f>
        <v>0</v>
      </c>
      <c r="L6" s="6" t="s">
        <v>36</v>
      </c>
      <c r="M6" s="8" t="n">
        <v>405000</v>
      </c>
      <c r="N6" s="6" t="s">
        <v>23</v>
      </c>
      <c r="O6" s="6" t="s">
        <v>24</v>
      </c>
      <c r="P6" s="8" t="n">
        <v>3000000</v>
      </c>
    </row>
    <row r="7" customFormat="false" ht="15" hidden="false" customHeight="false" outlineLevel="0" collapsed="false">
      <c r="A7" s="6" t="s">
        <v>16</v>
      </c>
      <c r="B7" s="7" t="s">
        <v>17</v>
      </c>
      <c r="C7" s="7" t="s">
        <v>37</v>
      </c>
      <c r="D7" s="7" t="s">
        <v>26</v>
      </c>
      <c r="E7" s="6" t="s">
        <v>38</v>
      </c>
      <c r="F7" s="8" t="n">
        <v>2475000</v>
      </c>
      <c r="G7" s="8" t="n">
        <v>2750000</v>
      </c>
      <c r="H7" s="9" t="n">
        <f aca="false">IF(G7=0,"",F7/G7)</f>
        <v>0.9</v>
      </c>
      <c r="I7" s="6" t="s">
        <v>39</v>
      </c>
      <c r="J7" s="8" t="n">
        <v>2475000</v>
      </c>
      <c r="K7" s="6" t="n">
        <f aca="false">F7-J7</f>
        <v>0</v>
      </c>
      <c r="L7" s="6" t="s">
        <v>30</v>
      </c>
      <c r="M7" s="8" t="n">
        <v>427500</v>
      </c>
      <c r="N7" s="6" t="s">
        <v>23</v>
      </c>
      <c r="O7" s="6" t="s">
        <v>31</v>
      </c>
      <c r="P7" s="8" t="n">
        <v>3000000</v>
      </c>
    </row>
    <row r="8" customFormat="false" ht="15" hidden="false" customHeight="false" outlineLevel="0" collapsed="false">
      <c r="A8" s="6" t="s">
        <v>16</v>
      </c>
      <c r="B8" s="7" t="s">
        <v>17</v>
      </c>
      <c r="C8" s="7" t="s">
        <v>40</v>
      </c>
      <c r="D8" s="7" t="s">
        <v>26</v>
      </c>
      <c r="E8" s="6" t="s">
        <v>38</v>
      </c>
      <c r="F8" s="8" t="n">
        <v>2475000</v>
      </c>
      <c r="G8" s="8" t="n">
        <v>2750000</v>
      </c>
      <c r="H8" s="9" t="n">
        <f aca="false">IF(G8=0,"",F8/G8)</f>
        <v>0.9</v>
      </c>
      <c r="I8" s="6" t="s">
        <v>39</v>
      </c>
      <c r="J8" s="8" t="n">
        <v>2475000</v>
      </c>
      <c r="K8" s="6" t="n">
        <f aca="false">F8-J8</f>
        <v>0</v>
      </c>
      <c r="L8" s="6" t="s">
        <v>41</v>
      </c>
      <c r="M8" s="8" t="n">
        <v>450000</v>
      </c>
      <c r="N8" s="6" t="s">
        <v>23</v>
      </c>
      <c r="O8" s="6" t="s">
        <v>42</v>
      </c>
      <c r="P8" s="8" t="n">
        <v>3000000</v>
      </c>
    </row>
    <row r="9" customFormat="false" ht="15" hidden="false" customHeight="false" outlineLevel="0" collapsed="false">
      <c r="A9" s="6" t="s">
        <v>16</v>
      </c>
      <c r="B9" s="7" t="s">
        <v>17</v>
      </c>
      <c r="C9" s="7" t="s">
        <v>43</v>
      </c>
      <c r="D9" s="7" t="s">
        <v>26</v>
      </c>
      <c r="E9" s="6" t="s">
        <v>38</v>
      </c>
      <c r="F9" s="8" t="n">
        <v>2475000</v>
      </c>
      <c r="G9" s="8" t="n">
        <v>2750000</v>
      </c>
      <c r="H9" s="9" t="n">
        <f aca="false">IF(G9=0,"",F9/G9)</f>
        <v>0.9</v>
      </c>
      <c r="I9" s="6" t="s">
        <v>39</v>
      </c>
      <c r="J9" s="8" t="n">
        <v>2475000</v>
      </c>
      <c r="K9" s="6" t="n">
        <f aca="false">F9-J9</f>
        <v>0</v>
      </c>
      <c r="L9" s="6" t="s">
        <v>30</v>
      </c>
      <c r="M9" s="8" t="n">
        <v>427500</v>
      </c>
      <c r="N9" s="6" t="s">
        <v>23</v>
      </c>
      <c r="O9" s="6" t="s">
        <v>31</v>
      </c>
      <c r="P9" s="8" t="n">
        <v>3000000</v>
      </c>
    </row>
    <row r="10" customFormat="false" ht="15" hidden="false" customHeight="false" outlineLevel="0" collapsed="false">
      <c r="A10" s="6" t="s">
        <v>16</v>
      </c>
      <c r="B10" s="7" t="s">
        <v>17</v>
      </c>
      <c r="C10" s="7" t="s">
        <v>44</v>
      </c>
      <c r="D10" s="7" t="s">
        <v>45</v>
      </c>
      <c r="E10" s="6" t="s">
        <v>29</v>
      </c>
      <c r="F10" s="8" t="n">
        <v>2227500</v>
      </c>
      <c r="G10" s="8" t="n">
        <v>2750000</v>
      </c>
      <c r="H10" s="9" t="n">
        <f aca="false">IF(G10=0,"",F10/G10)</f>
        <v>0.81</v>
      </c>
      <c r="I10" s="6" t="s">
        <v>27</v>
      </c>
      <c r="J10" s="8" t="n">
        <v>2227500</v>
      </c>
      <c r="K10" s="6" t="n">
        <f aca="false">F10-J10</f>
        <v>0</v>
      </c>
      <c r="L10" s="6" t="s">
        <v>36</v>
      </c>
      <c r="M10" s="8" t="n">
        <v>405000</v>
      </c>
      <c r="N10" s="6" t="s">
        <v>23</v>
      </c>
      <c r="O10" s="6" t="s">
        <v>24</v>
      </c>
      <c r="P10" s="8" t="n">
        <v>0</v>
      </c>
    </row>
    <row r="11" customFormat="false" ht="15" hidden="false" customHeight="false" outlineLevel="0" collapsed="false">
      <c r="A11" s="6" t="s">
        <v>16</v>
      </c>
      <c r="B11" s="7" t="s">
        <v>17</v>
      </c>
      <c r="C11" s="7" t="s">
        <v>46</v>
      </c>
      <c r="D11" s="7" t="s">
        <v>26</v>
      </c>
      <c r="E11" s="6" t="s">
        <v>29</v>
      </c>
      <c r="F11" s="8" t="n">
        <v>2227500</v>
      </c>
      <c r="G11" s="8" t="n">
        <v>2750000</v>
      </c>
      <c r="H11" s="9" t="n">
        <f aca="false">IF(G11=0,"",F11/G11)</f>
        <v>0.81</v>
      </c>
      <c r="I11" s="6" t="s">
        <v>27</v>
      </c>
      <c r="J11" s="8" t="n">
        <v>2227500</v>
      </c>
      <c r="K11" s="6" t="n">
        <f aca="false">F11-J11</f>
        <v>0</v>
      </c>
      <c r="L11" s="6" t="s">
        <v>30</v>
      </c>
      <c r="M11" s="8" t="n">
        <v>427500</v>
      </c>
      <c r="N11" s="6" t="s">
        <v>23</v>
      </c>
      <c r="O11" s="6" t="s">
        <v>31</v>
      </c>
      <c r="P11" s="8" t="n">
        <v>3000000</v>
      </c>
    </row>
    <row r="12" customFormat="false" ht="15" hidden="false" customHeight="false" outlineLevel="0" collapsed="false">
      <c r="A12" s="6" t="s">
        <v>16</v>
      </c>
      <c r="B12" s="7" t="s">
        <v>17</v>
      </c>
      <c r="C12" s="7" t="s">
        <v>47</v>
      </c>
      <c r="D12" s="6" t="s">
        <v>33</v>
      </c>
      <c r="E12" s="6" t="s">
        <v>29</v>
      </c>
      <c r="F12" s="8" t="n">
        <v>2475000</v>
      </c>
      <c r="G12" s="8" t="n">
        <v>2750000</v>
      </c>
      <c r="H12" s="9" t="n">
        <f aca="false">IF(G12=0,"",F12/G12)</f>
        <v>0.9</v>
      </c>
      <c r="I12" s="6" t="s">
        <v>39</v>
      </c>
      <c r="J12" s="8" t="n">
        <v>2475000</v>
      </c>
      <c r="K12" s="6" t="n">
        <f aca="false">F12-J12</f>
        <v>0</v>
      </c>
      <c r="L12" s="6" t="s">
        <v>36</v>
      </c>
      <c r="M12" s="8" t="n">
        <v>405000</v>
      </c>
      <c r="N12" s="6" t="s">
        <v>23</v>
      </c>
      <c r="O12" s="6" t="s">
        <v>24</v>
      </c>
      <c r="P12" s="8" t="n">
        <v>5000000</v>
      </c>
    </row>
    <row r="13" customFormat="false" ht="15" hidden="false" customHeight="false" outlineLevel="0" collapsed="false">
      <c r="A13" s="6" t="s">
        <v>16</v>
      </c>
      <c r="B13" s="7" t="s">
        <v>17</v>
      </c>
      <c r="C13" s="7" t="s">
        <v>48</v>
      </c>
      <c r="D13" s="6" t="s">
        <v>33</v>
      </c>
      <c r="E13" s="6" t="s">
        <v>38</v>
      </c>
      <c r="F13" s="8" t="n">
        <v>2750000</v>
      </c>
      <c r="G13" s="8" t="n">
        <v>2750000</v>
      </c>
      <c r="H13" s="9" t="n">
        <f aca="false">IF(G13=0,"",F13/G13)</f>
        <v>1</v>
      </c>
      <c r="I13" s="7" t="s">
        <v>49</v>
      </c>
      <c r="J13" s="8" t="n">
        <v>2750000</v>
      </c>
      <c r="K13" s="6" t="n">
        <f aca="false">F13-J13</f>
        <v>0</v>
      </c>
      <c r="L13" s="6" t="s">
        <v>30</v>
      </c>
      <c r="M13" s="8" t="n">
        <v>427500</v>
      </c>
      <c r="N13" s="6" t="s">
        <v>23</v>
      </c>
      <c r="O13" s="6" t="s">
        <v>31</v>
      </c>
      <c r="P13" s="8" t="n">
        <v>5000000</v>
      </c>
    </row>
    <row r="14" customFormat="false" ht="15" hidden="false" customHeight="false" outlineLevel="0" collapsed="false">
      <c r="A14" s="6" t="s">
        <v>16</v>
      </c>
      <c r="B14" s="7" t="s">
        <v>17</v>
      </c>
      <c r="C14" s="7" t="s">
        <v>50</v>
      </c>
      <c r="D14" s="7" t="s">
        <v>26</v>
      </c>
      <c r="E14" s="6" t="s">
        <v>29</v>
      </c>
      <c r="F14" s="8" t="n">
        <v>2227500</v>
      </c>
      <c r="G14" s="8" t="n">
        <v>2750000</v>
      </c>
      <c r="H14" s="9" t="n">
        <f aca="false">IF(G14=0,"",F14/G14)</f>
        <v>0.81</v>
      </c>
      <c r="I14" s="6" t="s">
        <v>27</v>
      </c>
      <c r="J14" s="8" t="n">
        <v>2227500</v>
      </c>
      <c r="K14" s="6" t="n">
        <f aca="false">F14-J14</f>
        <v>0</v>
      </c>
      <c r="L14" s="6" t="s">
        <v>36</v>
      </c>
      <c r="M14" s="8" t="n">
        <v>405000</v>
      </c>
      <c r="N14" s="6" t="s">
        <v>23</v>
      </c>
      <c r="O14" s="6" t="s">
        <v>24</v>
      </c>
      <c r="P14" s="8" t="n">
        <v>3000000</v>
      </c>
    </row>
    <row r="15" customFormat="false" ht="15" hidden="false" customHeight="false" outlineLevel="0" collapsed="false">
      <c r="A15" s="6" t="s">
        <v>16</v>
      </c>
      <c r="B15" s="7" t="s">
        <v>51</v>
      </c>
      <c r="C15" s="7" t="s">
        <v>52</v>
      </c>
      <c r="D15" s="6" t="s">
        <v>33</v>
      </c>
      <c r="E15" s="6" t="s">
        <v>29</v>
      </c>
      <c r="F15" s="8" t="n">
        <v>2475000</v>
      </c>
      <c r="G15" s="8" t="n">
        <v>2750000</v>
      </c>
      <c r="H15" s="9" t="n">
        <f aca="false">IF(G15=0,"",F15/G15)</f>
        <v>0.9</v>
      </c>
      <c r="I15" s="6" t="s">
        <v>39</v>
      </c>
      <c r="J15" s="8" t="n">
        <v>2475000</v>
      </c>
      <c r="K15" s="6" t="n">
        <f aca="false">F15-J15</f>
        <v>0</v>
      </c>
      <c r="L15" s="6" t="s">
        <v>41</v>
      </c>
      <c r="M15" s="8" t="n">
        <v>450000</v>
      </c>
      <c r="N15" s="6" t="s">
        <v>23</v>
      </c>
      <c r="O15" s="6" t="s">
        <v>42</v>
      </c>
      <c r="P15" s="8" t="n">
        <v>5000000</v>
      </c>
    </row>
    <row r="16" customFormat="false" ht="15" hidden="false" customHeight="false" outlineLevel="0" collapsed="false">
      <c r="A16" s="6" t="s">
        <v>53</v>
      </c>
      <c r="B16" s="7" t="s">
        <v>17</v>
      </c>
      <c r="C16" s="7" t="s">
        <v>54</v>
      </c>
      <c r="D16" s="7" t="s">
        <v>26</v>
      </c>
      <c r="E16" s="6" t="s">
        <v>29</v>
      </c>
      <c r="F16" s="8" t="n">
        <v>2227500</v>
      </c>
      <c r="G16" s="8" t="n">
        <v>2750000</v>
      </c>
      <c r="H16" s="9" t="n">
        <f aca="false">IF(G16=0,"",F16/G16)</f>
        <v>0.81</v>
      </c>
      <c r="I16" s="6" t="s">
        <v>27</v>
      </c>
      <c r="J16" s="8" t="n">
        <v>2227500</v>
      </c>
      <c r="K16" s="6" t="n">
        <f aca="false">F16-J16</f>
        <v>0</v>
      </c>
      <c r="L16" s="6" t="s">
        <v>36</v>
      </c>
      <c r="M16" s="8" t="n">
        <v>405000</v>
      </c>
      <c r="N16" s="6" t="s">
        <v>23</v>
      </c>
      <c r="O16" s="6" t="s">
        <v>24</v>
      </c>
      <c r="P16" s="8" t="n">
        <v>3000000</v>
      </c>
    </row>
    <row r="17" customFormat="false" ht="15" hidden="false" customHeight="false" outlineLevel="0" collapsed="false">
      <c r="A17" s="6" t="s">
        <v>53</v>
      </c>
      <c r="B17" s="7" t="s">
        <v>17</v>
      </c>
      <c r="C17" s="7" t="s">
        <v>55</v>
      </c>
      <c r="D17" s="7" t="s">
        <v>26</v>
      </c>
      <c r="E17" s="6" t="s">
        <v>29</v>
      </c>
      <c r="F17" s="8" t="n">
        <v>2227500</v>
      </c>
      <c r="G17" s="8" t="n">
        <v>2750000</v>
      </c>
      <c r="H17" s="9" t="n">
        <f aca="false">IF(G17=0,"",F17/G17)</f>
        <v>0.81</v>
      </c>
      <c r="I17" s="6" t="s">
        <v>27</v>
      </c>
      <c r="J17" s="8" t="n">
        <v>2227500</v>
      </c>
      <c r="K17" s="6" t="n">
        <f aca="false">F17-J17</f>
        <v>0</v>
      </c>
      <c r="L17" s="6" t="s">
        <v>36</v>
      </c>
      <c r="M17" s="8" t="n">
        <v>405000</v>
      </c>
      <c r="N17" s="6" t="s">
        <v>23</v>
      </c>
      <c r="O17" s="6" t="s">
        <v>24</v>
      </c>
      <c r="P17" s="8" t="n">
        <v>3000000</v>
      </c>
    </row>
    <row r="18" customFormat="false" ht="15" hidden="false" customHeight="false" outlineLevel="0" collapsed="false">
      <c r="A18" s="6" t="s">
        <v>53</v>
      </c>
      <c r="B18" s="7" t="s">
        <v>17</v>
      </c>
      <c r="C18" s="7" t="s">
        <v>56</v>
      </c>
      <c r="D18" s="7" t="s">
        <v>57</v>
      </c>
      <c r="E18" s="6" t="s">
        <v>38</v>
      </c>
      <c r="F18" s="8" t="n">
        <v>2227500</v>
      </c>
      <c r="G18" s="8" t="n">
        <v>2750000</v>
      </c>
      <c r="H18" s="9" t="n">
        <f aca="false">IF(G18=0,"",F18/G18)</f>
        <v>0.81</v>
      </c>
      <c r="I18" s="6" t="s">
        <v>27</v>
      </c>
      <c r="J18" s="8" t="n">
        <v>2227500</v>
      </c>
      <c r="K18" s="6" t="n">
        <f aca="false">F18-J18</f>
        <v>0</v>
      </c>
      <c r="L18" s="6" t="s">
        <v>30</v>
      </c>
      <c r="M18" s="8" t="n">
        <v>427500</v>
      </c>
      <c r="N18" s="6" t="s">
        <v>23</v>
      </c>
      <c r="O18" s="6" t="s">
        <v>31</v>
      </c>
      <c r="P18" s="8" t="n">
        <v>0</v>
      </c>
    </row>
    <row r="19" customFormat="false" ht="15" hidden="false" customHeight="false" outlineLevel="0" collapsed="false">
      <c r="A19" s="6" t="s">
        <v>53</v>
      </c>
      <c r="B19" s="7" t="s">
        <v>17</v>
      </c>
      <c r="C19" s="7" t="s">
        <v>58</v>
      </c>
      <c r="D19" s="7" t="s">
        <v>26</v>
      </c>
      <c r="E19" s="6" t="s">
        <v>29</v>
      </c>
      <c r="F19" s="8" t="n">
        <v>2227500</v>
      </c>
      <c r="G19" s="8" t="n">
        <v>2750000</v>
      </c>
      <c r="H19" s="9" t="n">
        <f aca="false">IF(G19=0,"",F19/G19)</f>
        <v>0.81</v>
      </c>
      <c r="I19" s="6" t="s">
        <v>27</v>
      </c>
      <c r="J19" s="8" t="n">
        <v>2227500</v>
      </c>
      <c r="K19" s="6" t="n">
        <f aca="false">F19-J19</f>
        <v>0</v>
      </c>
      <c r="L19" s="6" t="s">
        <v>41</v>
      </c>
      <c r="M19" s="8" t="n">
        <v>450000</v>
      </c>
      <c r="N19" s="6" t="s">
        <v>23</v>
      </c>
      <c r="O19" s="6" t="s">
        <v>42</v>
      </c>
      <c r="P19" s="8" t="n">
        <v>3000000</v>
      </c>
    </row>
    <row r="20" customFormat="false" ht="15" hidden="false" customHeight="false" outlineLevel="0" collapsed="false">
      <c r="A20" s="6" t="s">
        <v>53</v>
      </c>
      <c r="B20" s="7" t="s">
        <v>17</v>
      </c>
      <c r="C20" s="7" t="s">
        <v>59</v>
      </c>
      <c r="D20" s="7" t="s">
        <v>26</v>
      </c>
      <c r="E20" s="6" t="s">
        <v>38</v>
      </c>
      <c r="F20" s="8" t="n">
        <v>2475000</v>
      </c>
      <c r="G20" s="8" t="n">
        <v>2750000</v>
      </c>
      <c r="H20" s="9" t="n">
        <f aca="false">IF(G20=0,"",F20/G20)</f>
        <v>0.9</v>
      </c>
      <c r="I20" s="6" t="s">
        <v>39</v>
      </c>
      <c r="J20" s="8" t="n">
        <v>2475000</v>
      </c>
      <c r="K20" s="6" t="n">
        <f aca="false">F20-J20</f>
        <v>0</v>
      </c>
      <c r="L20" s="6" t="s">
        <v>41</v>
      </c>
      <c r="M20" s="8" t="n">
        <v>450000</v>
      </c>
      <c r="N20" s="6" t="s">
        <v>23</v>
      </c>
      <c r="O20" s="6" t="s">
        <v>42</v>
      </c>
      <c r="P20" s="8" t="n">
        <v>3000000</v>
      </c>
    </row>
    <row r="21" customFormat="false" ht="15" hidden="false" customHeight="false" outlineLevel="0" collapsed="false">
      <c r="A21" s="6" t="s">
        <v>53</v>
      </c>
      <c r="B21" s="7" t="s">
        <v>17</v>
      </c>
      <c r="C21" s="7" t="s">
        <v>60</v>
      </c>
      <c r="D21" s="7" t="s">
        <v>26</v>
      </c>
      <c r="E21" s="6" t="s">
        <v>29</v>
      </c>
      <c r="F21" s="8" t="n">
        <v>2227500</v>
      </c>
      <c r="G21" s="8" t="n">
        <v>2750000</v>
      </c>
      <c r="H21" s="9" t="n">
        <f aca="false">IF(G21=0,"",F21/G21)</f>
        <v>0.81</v>
      </c>
      <c r="I21" s="6" t="s">
        <v>27</v>
      </c>
      <c r="J21" s="8" t="n">
        <v>2227500</v>
      </c>
      <c r="K21" s="6" t="n">
        <f aca="false">F21-J21</f>
        <v>0</v>
      </c>
      <c r="L21" s="6" t="s">
        <v>61</v>
      </c>
      <c r="M21" s="8" t="n">
        <v>405000</v>
      </c>
      <c r="N21" s="6" t="s">
        <v>23</v>
      </c>
      <c r="O21" s="6" t="s">
        <v>24</v>
      </c>
      <c r="P21" s="8" t="n">
        <v>3000000</v>
      </c>
    </row>
    <row r="22" customFormat="false" ht="15" hidden="false" customHeight="false" outlineLevel="0" collapsed="false">
      <c r="A22" s="6" t="s">
        <v>53</v>
      </c>
      <c r="B22" s="7" t="s">
        <v>17</v>
      </c>
      <c r="C22" s="7" t="s">
        <v>62</v>
      </c>
      <c r="D22" s="6" t="s">
        <v>33</v>
      </c>
      <c r="E22" s="6" t="s">
        <v>29</v>
      </c>
      <c r="F22" s="8" t="n">
        <v>2475000</v>
      </c>
      <c r="G22" s="8" t="n">
        <v>2750000</v>
      </c>
      <c r="H22" s="9" t="n">
        <f aca="false">IF(G22=0,"",F22/G22)</f>
        <v>0.9</v>
      </c>
      <c r="I22" s="6" t="s">
        <v>39</v>
      </c>
      <c r="J22" s="8" t="n">
        <v>2475000</v>
      </c>
      <c r="K22" s="6" t="n">
        <f aca="false">F22-J22</f>
        <v>0</v>
      </c>
      <c r="L22" s="6" t="s">
        <v>36</v>
      </c>
      <c r="M22" s="8" t="n">
        <v>405000</v>
      </c>
      <c r="N22" s="6" t="s">
        <v>23</v>
      </c>
      <c r="O22" s="6" t="s">
        <v>24</v>
      </c>
      <c r="P22" s="8" t="n">
        <v>5000000</v>
      </c>
    </row>
    <row r="23" customFormat="false" ht="15" hidden="false" customHeight="false" outlineLevel="0" collapsed="false">
      <c r="A23" s="6" t="s">
        <v>53</v>
      </c>
      <c r="B23" s="7" t="s">
        <v>17</v>
      </c>
      <c r="C23" s="7" t="s">
        <v>37</v>
      </c>
      <c r="D23" s="7" t="s">
        <v>26</v>
      </c>
      <c r="E23" s="6" t="s">
        <v>29</v>
      </c>
      <c r="F23" s="8" t="n">
        <v>2227500</v>
      </c>
      <c r="G23" s="8" t="n">
        <v>2750000</v>
      </c>
      <c r="H23" s="9" t="n">
        <f aca="false">IF(G23=0,"",F23/G23)</f>
        <v>0.81</v>
      </c>
      <c r="I23" s="6" t="s">
        <v>27</v>
      </c>
      <c r="J23" s="8" t="n">
        <v>2227500</v>
      </c>
      <c r="K23" s="6" t="n">
        <f aca="false">F23-J23</f>
        <v>0</v>
      </c>
      <c r="L23" s="6" t="s">
        <v>30</v>
      </c>
      <c r="M23" s="8" t="n">
        <v>427500</v>
      </c>
      <c r="N23" s="6" t="s">
        <v>23</v>
      </c>
      <c r="O23" s="6" t="s">
        <v>31</v>
      </c>
      <c r="P23" s="8" t="n">
        <v>3000000</v>
      </c>
    </row>
    <row r="24" customFormat="false" ht="15" hidden="false" customHeight="false" outlineLevel="0" collapsed="false">
      <c r="A24" s="6" t="s">
        <v>53</v>
      </c>
      <c r="B24" s="7" t="s">
        <v>17</v>
      </c>
      <c r="C24" s="7" t="s">
        <v>63</v>
      </c>
      <c r="D24" s="6" t="s">
        <v>33</v>
      </c>
      <c r="E24" s="6" t="s">
        <v>29</v>
      </c>
      <c r="F24" s="8" t="n">
        <v>2475000</v>
      </c>
      <c r="G24" s="8" t="n">
        <v>2750000</v>
      </c>
      <c r="H24" s="9" t="n">
        <f aca="false">IF(G24=0,"",F24/G24)</f>
        <v>0.9</v>
      </c>
      <c r="I24" s="6" t="s">
        <v>39</v>
      </c>
      <c r="J24" s="8" t="n">
        <v>2475000</v>
      </c>
      <c r="K24" s="6" t="n">
        <f aca="false">F24-J24</f>
        <v>0</v>
      </c>
      <c r="L24" s="6" t="s">
        <v>36</v>
      </c>
      <c r="M24" s="8" t="n">
        <v>405000</v>
      </c>
      <c r="N24" s="6" t="s">
        <v>23</v>
      </c>
      <c r="O24" s="6" t="s">
        <v>24</v>
      </c>
      <c r="P24" s="8" t="n">
        <v>5000000</v>
      </c>
    </row>
    <row r="25" customFormat="false" ht="15" hidden="false" customHeight="false" outlineLevel="0" collapsed="false">
      <c r="A25" s="6" t="s">
        <v>53</v>
      </c>
      <c r="B25" s="7" t="s">
        <v>17</v>
      </c>
      <c r="C25" s="7" t="s">
        <v>64</v>
      </c>
      <c r="D25" s="7" t="s">
        <v>26</v>
      </c>
      <c r="E25" s="6" t="s">
        <v>29</v>
      </c>
      <c r="F25" s="8" t="n">
        <v>2227500</v>
      </c>
      <c r="G25" s="8" t="n">
        <v>2750000</v>
      </c>
      <c r="H25" s="9" t="n">
        <f aca="false">IF(G25=0,"",F25/G25)</f>
        <v>0.81</v>
      </c>
      <c r="I25" s="6" t="s">
        <v>27</v>
      </c>
      <c r="J25" s="8" t="n">
        <v>2227500</v>
      </c>
      <c r="K25" s="6" t="n">
        <f aca="false">F25-J25</f>
        <v>0</v>
      </c>
      <c r="L25" s="6" t="s">
        <v>65</v>
      </c>
      <c r="M25" s="8" t="n">
        <v>405000</v>
      </c>
      <c r="N25" s="6" t="s">
        <v>23</v>
      </c>
      <c r="O25" s="6" t="s">
        <v>24</v>
      </c>
      <c r="P25" s="8" t="n">
        <v>3000000</v>
      </c>
    </row>
    <row r="26" customFormat="false" ht="15" hidden="false" customHeight="false" outlineLevel="0" collapsed="false">
      <c r="A26" s="6" t="s">
        <v>53</v>
      </c>
      <c r="B26" s="7" t="s">
        <v>17</v>
      </c>
      <c r="C26" s="7" t="s">
        <v>66</v>
      </c>
      <c r="D26" s="7" t="s">
        <v>26</v>
      </c>
      <c r="E26" s="6" t="s">
        <v>38</v>
      </c>
      <c r="F26" s="8" t="n">
        <v>2475000</v>
      </c>
      <c r="G26" s="8" t="n">
        <v>2750000</v>
      </c>
      <c r="H26" s="9" t="n">
        <f aca="false">IF(G26=0,"",F26/G26)</f>
        <v>0.9</v>
      </c>
      <c r="I26" s="6" t="s">
        <v>39</v>
      </c>
      <c r="J26" s="8" t="n">
        <v>2475000</v>
      </c>
      <c r="K26" s="6" t="n">
        <f aca="false">F26-J26</f>
        <v>0</v>
      </c>
      <c r="L26" s="6" t="s">
        <v>41</v>
      </c>
      <c r="M26" s="8" t="n">
        <v>450000</v>
      </c>
      <c r="N26" s="6" t="s">
        <v>23</v>
      </c>
      <c r="O26" s="6" t="s">
        <v>42</v>
      </c>
      <c r="P26" s="8" t="n">
        <v>3000000</v>
      </c>
    </row>
    <row r="27" customFormat="false" ht="15" hidden="false" customHeight="false" outlineLevel="0" collapsed="false">
      <c r="A27" s="2" t="s">
        <v>53</v>
      </c>
      <c r="B27" s="3" t="s">
        <v>17</v>
      </c>
      <c r="C27" s="3" t="s">
        <v>67</v>
      </c>
      <c r="D27" s="2" t="s">
        <v>33</v>
      </c>
      <c r="E27" s="2" t="s">
        <v>29</v>
      </c>
      <c r="F27" s="4" t="n">
        <v>2750000</v>
      </c>
      <c r="G27" s="4" t="n">
        <v>2750000</v>
      </c>
      <c r="H27" s="5" t="n">
        <f aca="false">IF(G27=0,"",F27/G27)</f>
        <v>1</v>
      </c>
      <c r="I27" s="3" t="s">
        <v>49</v>
      </c>
      <c r="J27" s="4" t="n">
        <v>2475000</v>
      </c>
      <c r="K27" s="2" t="n">
        <f aca="false">F27-J27</f>
        <v>275000</v>
      </c>
      <c r="L27" s="2" t="s">
        <v>34</v>
      </c>
      <c r="M27" s="4" t="n">
        <v>0</v>
      </c>
      <c r="N27" s="2"/>
      <c r="O27" s="2"/>
      <c r="P27" s="4" t="n">
        <v>5000000</v>
      </c>
    </row>
    <row r="28" customFormat="false" ht="15" hidden="false" customHeight="false" outlineLevel="0" collapsed="false">
      <c r="A28" s="6" t="s">
        <v>53</v>
      </c>
      <c r="B28" s="7" t="s">
        <v>51</v>
      </c>
      <c r="C28" s="7" t="s">
        <v>68</v>
      </c>
      <c r="D28" s="7" t="s">
        <v>26</v>
      </c>
      <c r="E28" s="6" t="s">
        <v>38</v>
      </c>
      <c r="F28" s="8" t="n">
        <v>2475000</v>
      </c>
      <c r="G28" s="8" t="n">
        <v>2750000</v>
      </c>
      <c r="H28" s="9" t="n">
        <f aca="false">IF(G28=0,"",F28/G28)</f>
        <v>0.9</v>
      </c>
      <c r="I28" s="6" t="s">
        <v>39</v>
      </c>
      <c r="J28" s="8" t="n">
        <v>2475000</v>
      </c>
      <c r="K28" s="6" t="n">
        <f aca="false">F28-J28</f>
        <v>0</v>
      </c>
      <c r="L28" s="6" t="s">
        <v>30</v>
      </c>
      <c r="M28" s="8" t="n">
        <v>427500</v>
      </c>
      <c r="N28" s="6" t="s">
        <v>23</v>
      </c>
      <c r="O28" s="6" t="s">
        <v>31</v>
      </c>
      <c r="P28" s="8" t="n">
        <v>3000000</v>
      </c>
    </row>
    <row r="29" customFormat="false" ht="15" hidden="false" customHeight="false" outlineLevel="0" collapsed="false">
      <c r="A29" s="6" t="s">
        <v>53</v>
      </c>
      <c r="B29" s="7" t="s">
        <v>51</v>
      </c>
      <c r="C29" s="7" t="s">
        <v>69</v>
      </c>
      <c r="D29" s="7" t="s">
        <v>26</v>
      </c>
      <c r="E29" s="6" t="s">
        <v>38</v>
      </c>
      <c r="F29" s="8" t="n">
        <v>2475000</v>
      </c>
      <c r="G29" s="8" t="n">
        <v>2750000</v>
      </c>
      <c r="H29" s="9" t="n">
        <f aca="false">IF(G29=0,"",F29/G29)</f>
        <v>0.9</v>
      </c>
      <c r="I29" s="6" t="s">
        <v>39</v>
      </c>
      <c r="J29" s="8" t="n">
        <v>2475000</v>
      </c>
      <c r="K29" s="6" t="n">
        <f aca="false">F29-J29</f>
        <v>0</v>
      </c>
      <c r="L29" s="6" t="s">
        <v>41</v>
      </c>
      <c r="M29" s="8" t="n">
        <v>450000</v>
      </c>
      <c r="N29" s="6" t="s">
        <v>23</v>
      </c>
      <c r="O29" s="6" t="s">
        <v>42</v>
      </c>
      <c r="P29" s="8" t="n">
        <v>3000000</v>
      </c>
    </row>
    <row r="30" customFormat="false" ht="15" hidden="false" customHeight="false" outlineLevel="0" collapsed="false">
      <c r="A30" s="6" t="s">
        <v>70</v>
      </c>
      <c r="B30" s="7" t="s">
        <v>17</v>
      </c>
      <c r="C30" s="7" t="s">
        <v>71</v>
      </c>
      <c r="D30" s="7" t="s">
        <v>19</v>
      </c>
      <c r="E30" s="6" t="s">
        <v>38</v>
      </c>
      <c r="F30" s="8" t="n">
        <v>2750000</v>
      </c>
      <c r="G30" s="8" t="n">
        <v>2750000</v>
      </c>
      <c r="H30" s="9" t="n">
        <f aca="false">IF(G30=0,"",F30/G30)</f>
        <v>1</v>
      </c>
      <c r="I30" s="7" t="s">
        <v>49</v>
      </c>
      <c r="J30" s="8" t="n">
        <v>2750000</v>
      </c>
      <c r="K30" s="6" t="n">
        <f aca="false">F30-J30</f>
        <v>0</v>
      </c>
      <c r="L30" s="6" t="s">
        <v>41</v>
      </c>
      <c r="M30" s="8" t="n">
        <v>450000</v>
      </c>
      <c r="N30" s="6" t="s">
        <v>23</v>
      </c>
      <c r="O30" s="6" t="s">
        <v>42</v>
      </c>
      <c r="P30" s="8" t="n">
        <v>5000000</v>
      </c>
    </row>
    <row r="31" customFormat="false" ht="15" hidden="false" customHeight="false" outlineLevel="0" collapsed="false">
      <c r="A31" s="2" t="s">
        <v>70</v>
      </c>
      <c r="B31" s="3" t="s">
        <v>17</v>
      </c>
      <c r="C31" s="3" t="s">
        <v>72</v>
      </c>
      <c r="D31" s="3" t="s">
        <v>26</v>
      </c>
      <c r="E31" s="2" t="s">
        <v>38</v>
      </c>
      <c r="F31" s="4" t="n">
        <v>2227500</v>
      </c>
      <c r="G31" s="4" t="n">
        <v>2750000</v>
      </c>
      <c r="H31" s="5" t="n">
        <f aca="false">IF(G31=0,"",F31/G31)</f>
        <v>0.81</v>
      </c>
      <c r="I31" s="2" t="s">
        <v>27</v>
      </c>
      <c r="J31" s="4" t="n">
        <v>2475000</v>
      </c>
      <c r="K31" s="2" t="n">
        <f aca="false">F31-J31</f>
        <v>-247500</v>
      </c>
      <c r="L31" s="2" t="s">
        <v>73</v>
      </c>
      <c r="M31" s="4" t="n">
        <v>250000</v>
      </c>
      <c r="N31" s="2" t="s">
        <v>74</v>
      </c>
      <c r="O31" s="2" t="s">
        <v>42</v>
      </c>
      <c r="P31" s="4" t="n">
        <v>3000000</v>
      </c>
    </row>
    <row r="32" customFormat="false" ht="15" hidden="false" customHeight="false" outlineLevel="0" collapsed="false">
      <c r="A32" s="6" t="s">
        <v>70</v>
      </c>
      <c r="B32" s="7" t="s">
        <v>17</v>
      </c>
      <c r="C32" s="7" t="s">
        <v>75</v>
      </c>
      <c r="D32" s="7" t="s">
        <v>26</v>
      </c>
      <c r="E32" s="6" t="s">
        <v>29</v>
      </c>
      <c r="F32" s="8" t="n">
        <v>2227500</v>
      </c>
      <c r="G32" s="8" t="n">
        <v>2750000</v>
      </c>
      <c r="H32" s="9" t="n">
        <f aca="false">IF(G32=0,"",F32/G32)</f>
        <v>0.81</v>
      </c>
      <c r="I32" s="6" t="s">
        <v>27</v>
      </c>
      <c r="J32" s="8" t="n">
        <v>2227500</v>
      </c>
      <c r="K32" s="6" t="n">
        <f aca="false">F32-J32</f>
        <v>0</v>
      </c>
      <c r="L32" s="6" t="s">
        <v>76</v>
      </c>
      <c r="M32" s="8" t="n">
        <v>225000</v>
      </c>
      <c r="N32" s="6" t="s">
        <v>74</v>
      </c>
      <c r="O32" s="6" t="s">
        <v>24</v>
      </c>
      <c r="P32" s="8" t="n">
        <v>3000000</v>
      </c>
    </row>
    <row r="33" customFormat="false" ht="15" hidden="false" customHeight="false" outlineLevel="0" collapsed="false">
      <c r="A33" s="6" t="s">
        <v>70</v>
      </c>
      <c r="B33" s="7" t="s">
        <v>17</v>
      </c>
      <c r="C33" s="7" t="s">
        <v>77</v>
      </c>
      <c r="D33" s="7" t="s">
        <v>26</v>
      </c>
      <c r="E33" s="6" t="s">
        <v>38</v>
      </c>
      <c r="F33" s="8" t="n">
        <v>2475000</v>
      </c>
      <c r="G33" s="8" t="n">
        <v>2750000</v>
      </c>
      <c r="H33" s="9" t="n">
        <f aca="false">IF(G33=0,"",F33/G33)</f>
        <v>0.9</v>
      </c>
      <c r="I33" s="6" t="s">
        <v>39</v>
      </c>
      <c r="J33" s="8" t="n">
        <v>2475000</v>
      </c>
      <c r="K33" s="6" t="n">
        <f aca="false">F33-J33</f>
        <v>0</v>
      </c>
      <c r="L33" s="6" t="s">
        <v>41</v>
      </c>
      <c r="M33" s="8" t="n">
        <v>450000</v>
      </c>
      <c r="N33" s="6" t="s">
        <v>23</v>
      </c>
      <c r="O33" s="6" t="s">
        <v>42</v>
      </c>
      <c r="P33" s="8" t="n">
        <v>3000000</v>
      </c>
    </row>
    <row r="34" customFormat="false" ht="15" hidden="false" customHeight="false" outlineLevel="0" collapsed="false">
      <c r="A34" s="6" t="s">
        <v>70</v>
      </c>
      <c r="B34" s="7" t="s">
        <v>17</v>
      </c>
      <c r="C34" s="7" t="s">
        <v>78</v>
      </c>
      <c r="D34" s="7" t="s">
        <v>26</v>
      </c>
      <c r="E34" s="6" t="s">
        <v>29</v>
      </c>
      <c r="F34" s="8" t="n">
        <v>2227500</v>
      </c>
      <c r="G34" s="8" t="n">
        <v>2750000</v>
      </c>
      <c r="H34" s="9" t="n">
        <f aca="false">IF(G34=0,"",F34/G34)</f>
        <v>0.81</v>
      </c>
      <c r="I34" s="6" t="s">
        <v>27</v>
      </c>
      <c r="J34" s="8" t="n">
        <v>2227500</v>
      </c>
      <c r="K34" s="6" t="n">
        <f aca="false">F34-J34</f>
        <v>0</v>
      </c>
      <c r="L34" s="6" t="s">
        <v>36</v>
      </c>
      <c r="M34" s="8" t="n">
        <v>405000</v>
      </c>
      <c r="N34" s="6" t="s">
        <v>23</v>
      </c>
      <c r="O34" s="6" t="s">
        <v>24</v>
      </c>
      <c r="P34" s="8" t="n">
        <v>3000000</v>
      </c>
    </row>
    <row r="35" customFormat="false" ht="15" hidden="false" customHeight="false" outlineLevel="0" collapsed="false">
      <c r="A35" s="6" t="s">
        <v>70</v>
      </c>
      <c r="B35" s="7" t="s">
        <v>17</v>
      </c>
      <c r="C35" s="7" t="s">
        <v>79</v>
      </c>
      <c r="D35" s="7" t="s">
        <v>26</v>
      </c>
      <c r="E35" s="6" t="s">
        <v>38</v>
      </c>
      <c r="F35" s="8" t="n">
        <v>2475000</v>
      </c>
      <c r="G35" s="8" t="n">
        <v>2750000</v>
      </c>
      <c r="H35" s="9" t="n">
        <f aca="false">IF(G35=0,"",F35/G35)</f>
        <v>0.9</v>
      </c>
      <c r="I35" s="6" t="s">
        <v>39</v>
      </c>
      <c r="J35" s="8" t="n">
        <v>2475000</v>
      </c>
      <c r="K35" s="6" t="n">
        <f aca="false">F35-J35</f>
        <v>0</v>
      </c>
      <c r="L35" s="6" t="s">
        <v>41</v>
      </c>
      <c r="M35" s="8" t="n">
        <v>450000</v>
      </c>
      <c r="N35" s="6" t="s">
        <v>23</v>
      </c>
      <c r="O35" s="6" t="s">
        <v>42</v>
      </c>
      <c r="P35" s="8" t="n">
        <v>3000000</v>
      </c>
    </row>
    <row r="36" customFormat="false" ht="15" hidden="false" customHeight="false" outlineLevel="0" collapsed="false">
      <c r="A36" s="6" t="s">
        <v>70</v>
      </c>
      <c r="B36" s="7" t="s">
        <v>17</v>
      </c>
      <c r="C36" s="7" t="s">
        <v>80</v>
      </c>
      <c r="D36" s="7" t="s">
        <v>26</v>
      </c>
      <c r="E36" s="6" t="s">
        <v>38</v>
      </c>
      <c r="F36" s="8" t="n">
        <v>2475000</v>
      </c>
      <c r="G36" s="8" t="n">
        <v>2750000</v>
      </c>
      <c r="H36" s="9" t="n">
        <f aca="false">IF(G36=0,"",F36/G36)</f>
        <v>0.9</v>
      </c>
      <c r="I36" s="6" t="s">
        <v>39</v>
      </c>
      <c r="J36" s="8" t="n">
        <v>2475000</v>
      </c>
      <c r="K36" s="6" t="n">
        <f aca="false">F36-J36</f>
        <v>0</v>
      </c>
      <c r="L36" s="6" t="s">
        <v>41</v>
      </c>
      <c r="M36" s="8" t="n">
        <v>450000</v>
      </c>
      <c r="N36" s="6" t="s">
        <v>23</v>
      </c>
      <c r="O36" s="6" t="s">
        <v>42</v>
      </c>
      <c r="P36" s="8" t="n">
        <v>3000000</v>
      </c>
    </row>
    <row r="37" customFormat="false" ht="15" hidden="false" customHeight="false" outlineLevel="0" collapsed="false">
      <c r="A37" s="2" t="s">
        <v>70</v>
      </c>
      <c r="B37" s="3" t="s">
        <v>17</v>
      </c>
      <c r="C37" s="3" t="s">
        <v>81</v>
      </c>
      <c r="D37" s="2" t="s">
        <v>33</v>
      </c>
      <c r="E37" s="2" t="s">
        <v>29</v>
      </c>
      <c r="F37" s="4" t="n">
        <v>2650000</v>
      </c>
      <c r="G37" s="4" t="n">
        <v>2750000</v>
      </c>
      <c r="H37" s="5" t="n">
        <f aca="false">IF(G37=0,"",F37/G37)</f>
        <v>0.963636363636364</v>
      </c>
      <c r="I37" s="3" t="s">
        <v>82</v>
      </c>
      <c r="J37" s="4" t="n">
        <v>2475000</v>
      </c>
      <c r="K37" s="2" t="n">
        <f aca="false">F37-J37</f>
        <v>175000</v>
      </c>
      <c r="L37" s="2" t="s">
        <v>34</v>
      </c>
      <c r="M37" s="4" t="n">
        <v>0</v>
      </c>
      <c r="N37" s="2"/>
      <c r="O37" s="2"/>
      <c r="P37" s="4" t="n">
        <v>5000000</v>
      </c>
    </row>
    <row r="38" customFormat="false" ht="15" hidden="false" customHeight="false" outlineLevel="0" collapsed="false">
      <c r="A38" s="6" t="s">
        <v>70</v>
      </c>
      <c r="B38" s="7" t="s">
        <v>17</v>
      </c>
      <c r="C38" s="7" t="s">
        <v>83</v>
      </c>
      <c r="D38" s="7" t="s">
        <v>26</v>
      </c>
      <c r="E38" s="6" t="s">
        <v>29</v>
      </c>
      <c r="F38" s="8" t="n">
        <v>2227500</v>
      </c>
      <c r="G38" s="8" t="n">
        <v>2750000</v>
      </c>
      <c r="H38" s="9" t="n">
        <f aca="false">IF(G38=0,"",F38/G38)</f>
        <v>0.81</v>
      </c>
      <c r="I38" s="6" t="s">
        <v>27</v>
      </c>
      <c r="J38" s="8" t="n">
        <v>2227500</v>
      </c>
      <c r="K38" s="6" t="n">
        <f aca="false">F38-J38</f>
        <v>0</v>
      </c>
      <c r="L38" s="6" t="s">
        <v>36</v>
      </c>
      <c r="M38" s="8" t="n">
        <v>405000</v>
      </c>
      <c r="N38" s="6" t="s">
        <v>23</v>
      </c>
      <c r="O38" s="6" t="s">
        <v>24</v>
      </c>
      <c r="P38" s="8" t="n">
        <v>3000000</v>
      </c>
    </row>
    <row r="39" customFormat="false" ht="15" hidden="false" customHeight="false" outlineLevel="0" collapsed="false">
      <c r="A39" s="2" t="s">
        <v>70</v>
      </c>
      <c r="B39" s="3" t="s">
        <v>17</v>
      </c>
      <c r="C39" s="3" t="s">
        <v>84</v>
      </c>
      <c r="D39" s="3" t="s">
        <v>57</v>
      </c>
      <c r="E39" s="2" t="s">
        <v>29</v>
      </c>
      <c r="F39" s="4" t="n">
        <v>1980000</v>
      </c>
      <c r="G39" s="4" t="n">
        <v>2750000</v>
      </c>
      <c r="H39" s="5" t="n">
        <f aca="false">IF(G39=0,"",F39/G39)</f>
        <v>0.72</v>
      </c>
      <c r="I39" s="2" t="s">
        <v>85</v>
      </c>
      <c r="J39" s="4" t="n">
        <v>2004750</v>
      </c>
      <c r="K39" s="2" t="n">
        <f aca="false">F39-J39</f>
        <v>-24750</v>
      </c>
      <c r="L39" s="2" t="s">
        <v>30</v>
      </c>
      <c r="M39" s="4" t="n">
        <v>405000</v>
      </c>
      <c r="N39" s="3" t="s">
        <v>86</v>
      </c>
      <c r="O39" s="2" t="s">
        <v>31</v>
      </c>
      <c r="P39" s="4" t="n">
        <v>0</v>
      </c>
    </row>
    <row r="40" customFormat="false" ht="15" hidden="false" customHeight="false" outlineLevel="0" collapsed="false">
      <c r="A40" s="6" t="s">
        <v>70</v>
      </c>
      <c r="B40" s="7" t="s">
        <v>17</v>
      </c>
      <c r="C40" s="7" t="s">
        <v>87</v>
      </c>
      <c r="D40" s="6" t="s">
        <v>33</v>
      </c>
      <c r="E40" s="6" t="s">
        <v>29</v>
      </c>
      <c r="F40" s="8" t="n">
        <v>2475000</v>
      </c>
      <c r="G40" s="8" t="n">
        <v>2750000</v>
      </c>
      <c r="H40" s="9" t="n">
        <f aca="false">IF(G40=0,"",F40/G40)</f>
        <v>0.9</v>
      </c>
      <c r="I40" s="6" t="s">
        <v>39</v>
      </c>
      <c r="J40" s="8" t="n">
        <v>2475000</v>
      </c>
      <c r="K40" s="6" t="n">
        <f aca="false">F40-J40</f>
        <v>0</v>
      </c>
      <c r="L40" s="6" t="s">
        <v>36</v>
      </c>
      <c r="M40" s="8" t="n">
        <v>405000</v>
      </c>
      <c r="N40" s="6" t="s">
        <v>23</v>
      </c>
      <c r="O40" s="6" t="s">
        <v>24</v>
      </c>
      <c r="P40" s="8" t="n">
        <v>5000000</v>
      </c>
    </row>
    <row r="41" customFormat="false" ht="15" hidden="false" customHeight="false" outlineLevel="0" collapsed="false">
      <c r="A41" s="6" t="s">
        <v>70</v>
      </c>
      <c r="B41" s="7" t="s">
        <v>17</v>
      </c>
      <c r="C41" s="7" t="s">
        <v>88</v>
      </c>
      <c r="D41" s="6" t="s">
        <v>33</v>
      </c>
      <c r="E41" s="6" t="s">
        <v>29</v>
      </c>
      <c r="F41" s="8" t="n">
        <v>2475000</v>
      </c>
      <c r="G41" s="8" t="n">
        <v>2750000</v>
      </c>
      <c r="H41" s="9" t="n">
        <f aca="false">IF(G41=0,"",F41/G41)</f>
        <v>0.9</v>
      </c>
      <c r="I41" s="6" t="s">
        <v>39</v>
      </c>
      <c r="J41" s="8" t="n">
        <v>2475000</v>
      </c>
      <c r="K41" s="6" t="n">
        <f aca="false">F41-J41</f>
        <v>0</v>
      </c>
      <c r="L41" s="6" t="s">
        <v>36</v>
      </c>
      <c r="M41" s="8" t="n">
        <v>405000</v>
      </c>
      <c r="N41" s="6" t="s">
        <v>23</v>
      </c>
      <c r="O41" s="6" t="s">
        <v>24</v>
      </c>
      <c r="P41" s="8" t="n">
        <v>5000000</v>
      </c>
    </row>
    <row r="42" customFormat="false" ht="15" hidden="false" customHeight="false" outlineLevel="0" collapsed="false">
      <c r="A42" s="6" t="s">
        <v>70</v>
      </c>
      <c r="B42" s="7" t="s">
        <v>17</v>
      </c>
      <c r="C42" s="7" t="s">
        <v>89</v>
      </c>
      <c r="D42" s="7" t="s">
        <v>57</v>
      </c>
      <c r="E42" s="6" t="s">
        <v>38</v>
      </c>
      <c r="F42" s="8" t="n">
        <v>2227500</v>
      </c>
      <c r="G42" s="8" t="n">
        <v>2750000</v>
      </c>
      <c r="H42" s="9" t="n">
        <f aca="false">IF(G42=0,"",F42/G42)</f>
        <v>0.81</v>
      </c>
      <c r="I42" s="6" t="s">
        <v>27</v>
      </c>
      <c r="J42" s="8" t="n">
        <v>2227500</v>
      </c>
      <c r="K42" s="6" t="n">
        <f aca="false">F42-J42</f>
        <v>0</v>
      </c>
      <c r="L42" s="6" t="s">
        <v>30</v>
      </c>
      <c r="M42" s="8" t="n">
        <v>237500</v>
      </c>
      <c r="N42" s="6" t="s">
        <v>74</v>
      </c>
      <c r="O42" s="6" t="s">
        <v>31</v>
      </c>
      <c r="P42" s="8" t="n">
        <v>0</v>
      </c>
    </row>
    <row r="43" customFormat="false" ht="15" hidden="false" customHeight="false" outlineLevel="0" collapsed="false">
      <c r="A43" s="6" t="s">
        <v>70</v>
      </c>
      <c r="B43" s="7" t="s">
        <v>17</v>
      </c>
      <c r="C43" s="7" t="s">
        <v>90</v>
      </c>
      <c r="D43" s="7" t="s">
        <v>57</v>
      </c>
      <c r="E43" s="6" t="s">
        <v>38</v>
      </c>
      <c r="F43" s="8" t="n">
        <v>2227500</v>
      </c>
      <c r="G43" s="8" t="n">
        <v>2750000</v>
      </c>
      <c r="H43" s="9" t="n">
        <f aca="false">IF(G43=0,"",F43/G43)</f>
        <v>0.81</v>
      </c>
      <c r="I43" s="6" t="s">
        <v>27</v>
      </c>
      <c r="J43" s="8" t="n">
        <v>2227500</v>
      </c>
      <c r="K43" s="6" t="n">
        <f aca="false">F43-J43</f>
        <v>0</v>
      </c>
      <c r="L43" s="6" t="s">
        <v>30</v>
      </c>
      <c r="M43" s="8" t="n">
        <v>427500</v>
      </c>
      <c r="N43" s="6" t="s">
        <v>23</v>
      </c>
      <c r="O43" s="6" t="s">
        <v>31</v>
      </c>
      <c r="P43" s="8" t="n">
        <v>0</v>
      </c>
    </row>
    <row r="44" customFormat="false" ht="15" hidden="false" customHeight="false" outlineLevel="0" collapsed="false">
      <c r="A44" s="6" t="s">
        <v>70</v>
      </c>
      <c r="B44" s="7" t="s">
        <v>17</v>
      </c>
      <c r="C44" s="7" t="s">
        <v>91</v>
      </c>
      <c r="D44" s="7" t="s">
        <v>26</v>
      </c>
      <c r="E44" s="6" t="s">
        <v>29</v>
      </c>
      <c r="F44" s="8" t="n">
        <v>2227500</v>
      </c>
      <c r="G44" s="8" t="n">
        <v>2750000</v>
      </c>
      <c r="H44" s="9" t="n">
        <f aca="false">IF(G44=0,"",F44/G44)</f>
        <v>0.81</v>
      </c>
      <c r="I44" s="6" t="s">
        <v>27</v>
      </c>
      <c r="J44" s="8" t="n">
        <v>2227500</v>
      </c>
      <c r="K44" s="6" t="n">
        <f aca="false">F44-J44</f>
        <v>0</v>
      </c>
      <c r="L44" s="6" t="s">
        <v>36</v>
      </c>
      <c r="M44" s="8" t="n">
        <v>405000</v>
      </c>
      <c r="N44" s="6" t="s">
        <v>23</v>
      </c>
      <c r="O44" s="6" t="s">
        <v>24</v>
      </c>
      <c r="P44" s="8" t="n">
        <v>3000000</v>
      </c>
    </row>
    <row r="45" customFormat="false" ht="15" hidden="false" customHeight="false" outlineLevel="0" collapsed="false">
      <c r="A45" s="6" t="s">
        <v>92</v>
      </c>
      <c r="B45" s="7" t="s">
        <v>17</v>
      </c>
      <c r="C45" s="7" t="s">
        <v>93</v>
      </c>
      <c r="D45" s="6" t="s">
        <v>94</v>
      </c>
      <c r="E45" s="6" t="s">
        <v>29</v>
      </c>
      <c r="F45" s="8" t="n">
        <v>2000000</v>
      </c>
      <c r="G45" s="8" t="n">
        <v>2500000</v>
      </c>
      <c r="H45" s="9" t="n">
        <f aca="false">IF(G45=0,"",F45/G45)</f>
        <v>0.8</v>
      </c>
      <c r="I45" s="6" t="s">
        <v>95</v>
      </c>
      <c r="J45" s="8"/>
      <c r="K45" s="6"/>
      <c r="L45" s="6" t="s">
        <v>65</v>
      </c>
      <c r="M45" s="8" t="n">
        <v>360000</v>
      </c>
      <c r="N45" s="6" t="s">
        <v>96</v>
      </c>
      <c r="O45" s="6" t="s">
        <v>24</v>
      </c>
      <c r="P45" s="8" t="n">
        <v>2500000</v>
      </c>
    </row>
    <row r="46" customFormat="false" ht="15" hidden="false" customHeight="false" outlineLevel="0" collapsed="false">
      <c r="A46" s="6" t="s">
        <v>92</v>
      </c>
      <c r="B46" s="7" t="s">
        <v>17</v>
      </c>
      <c r="C46" s="7" t="s">
        <v>37</v>
      </c>
      <c r="D46" s="6" t="s">
        <v>94</v>
      </c>
      <c r="E46" s="6" t="s">
        <v>29</v>
      </c>
      <c r="F46" s="8" t="n">
        <v>2000000</v>
      </c>
      <c r="G46" s="8" t="n">
        <v>2500000</v>
      </c>
      <c r="H46" s="9" t="n">
        <f aca="false">IF(G46=0,"",F46/G46)</f>
        <v>0.8</v>
      </c>
      <c r="I46" s="6" t="s">
        <v>95</v>
      </c>
      <c r="J46" s="8"/>
      <c r="K46" s="6"/>
      <c r="L46" s="6" t="s">
        <v>65</v>
      </c>
      <c r="M46" s="8" t="n">
        <v>360000</v>
      </c>
      <c r="N46" s="6" t="s">
        <v>96</v>
      </c>
      <c r="O46" s="6" t="s">
        <v>24</v>
      </c>
      <c r="P46" s="8" t="n">
        <v>2500000</v>
      </c>
    </row>
    <row r="47" customFormat="false" ht="15" hidden="false" customHeight="false" outlineLevel="0" collapsed="false">
      <c r="A47" s="6" t="s">
        <v>92</v>
      </c>
      <c r="B47" s="7" t="s">
        <v>17</v>
      </c>
      <c r="C47" s="7" t="s">
        <v>97</v>
      </c>
      <c r="D47" s="6" t="s">
        <v>94</v>
      </c>
      <c r="E47" s="6" t="s">
        <v>38</v>
      </c>
      <c r="F47" s="8" t="n">
        <v>2250000</v>
      </c>
      <c r="G47" s="8" t="n">
        <v>2500000</v>
      </c>
      <c r="H47" s="9" t="n">
        <f aca="false">IF(G47=0,"",F47/G47)</f>
        <v>0.9</v>
      </c>
      <c r="I47" s="6" t="s">
        <v>39</v>
      </c>
      <c r="J47" s="8"/>
      <c r="K47" s="6"/>
      <c r="L47" s="6" t="s">
        <v>98</v>
      </c>
      <c r="M47" s="8" t="n">
        <v>450000</v>
      </c>
      <c r="N47" s="6" t="s">
        <v>23</v>
      </c>
      <c r="O47" s="6" t="s">
        <v>42</v>
      </c>
      <c r="P47" s="8" t="n">
        <v>2500000</v>
      </c>
    </row>
    <row r="48" customFormat="false" ht="15" hidden="false" customHeight="false" outlineLevel="0" collapsed="false">
      <c r="A48" s="6" t="s">
        <v>92</v>
      </c>
      <c r="B48" s="7" t="s">
        <v>17</v>
      </c>
      <c r="C48" s="7" t="s">
        <v>99</v>
      </c>
      <c r="D48" s="6" t="s">
        <v>94</v>
      </c>
      <c r="E48" s="6" t="s">
        <v>29</v>
      </c>
      <c r="F48" s="8" t="n">
        <v>2025000</v>
      </c>
      <c r="G48" s="8" t="n">
        <v>2500000</v>
      </c>
      <c r="H48" s="9" t="n">
        <f aca="false">IF(G48=0,"",F48/G48)</f>
        <v>0.81</v>
      </c>
      <c r="I48" s="6" t="s">
        <v>27</v>
      </c>
      <c r="J48" s="8"/>
      <c r="K48" s="6"/>
      <c r="L48" s="6" t="s">
        <v>98</v>
      </c>
      <c r="M48" s="8" t="n">
        <v>450000</v>
      </c>
      <c r="N48" s="6" t="s">
        <v>23</v>
      </c>
      <c r="O48" s="6" t="s">
        <v>42</v>
      </c>
      <c r="P48" s="8" t="s">
        <v>33</v>
      </c>
    </row>
    <row r="49" customFormat="false" ht="15" hidden="false" customHeight="false" outlineLevel="0" collapsed="false">
      <c r="A49" s="6" t="s">
        <v>92</v>
      </c>
      <c r="B49" s="7" t="s">
        <v>17</v>
      </c>
      <c r="C49" s="7" t="s">
        <v>100</v>
      </c>
      <c r="D49" s="6" t="s">
        <v>94</v>
      </c>
      <c r="E49" s="6" t="s">
        <v>29</v>
      </c>
      <c r="F49" s="8" t="n">
        <v>2750000</v>
      </c>
      <c r="G49" s="8" t="n">
        <v>2750000</v>
      </c>
      <c r="H49" s="9" t="n">
        <f aca="false">IF(G49=0,"",F49/G49)</f>
        <v>1</v>
      </c>
      <c r="I49" s="7" t="s">
        <v>49</v>
      </c>
      <c r="J49" s="8"/>
      <c r="K49" s="6"/>
      <c r="L49" s="6" t="s">
        <v>98</v>
      </c>
      <c r="M49" s="8" t="n">
        <v>450000</v>
      </c>
      <c r="N49" s="6" t="s">
        <v>23</v>
      </c>
      <c r="O49" s="6" t="s">
        <v>42</v>
      </c>
      <c r="P49" s="8" t="s">
        <v>33</v>
      </c>
    </row>
    <row r="50" customFormat="false" ht="15" hidden="false" customHeight="false" outlineLevel="0" collapsed="false">
      <c r="A50" s="6" t="s">
        <v>92</v>
      </c>
      <c r="B50" s="7" t="s">
        <v>17</v>
      </c>
      <c r="C50" s="7" t="s">
        <v>101</v>
      </c>
      <c r="D50" s="6" t="s">
        <v>94</v>
      </c>
      <c r="E50" s="6" t="s">
        <v>29</v>
      </c>
      <c r="F50" s="8" t="n">
        <v>1100000</v>
      </c>
      <c r="G50" s="8" t="n">
        <v>2750000</v>
      </c>
      <c r="H50" s="9" t="n">
        <f aca="false">IF(G50=0,"",F50/G50)</f>
        <v>0.4</v>
      </c>
      <c r="I50" s="7" t="s">
        <v>82</v>
      </c>
      <c r="J50" s="8"/>
      <c r="K50" s="6"/>
      <c r="L50" s="6" t="s">
        <v>98</v>
      </c>
      <c r="M50" s="8"/>
      <c r="N50" s="6"/>
      <c r="O50" s="6"/>
      <c r="P50" s="8" t="s">
        <v>33</v>
      </c>
    </row>
    <row r="51" customFormat="false" ht="15" hidden="false" customHeight="false" outlineLevel="0" collapsed="false">
      <c r="A51" s="6" t="s">
        <v>92</v>
      </c>
      <c r="B51" s="7" t="s">
        <v>17</v>
      </c>
      <c r="C51" s="7" t="s">
        <v>102</v>
      </c>
      <c r="D51" s="6" t="s">
        <v>94</v>
      </c>
      <c r="E51" s="6" t="s">
        <v>29</v>
      </c>
      <c r="F51" s="8" t="n">
        <v>2750000</v>
      </c>
      <c r="G51" s="8" t="n">
        <v>2750000</v>
      </c>
      <c r="H51" s="9" t="n">
        <f aca="false">IF(G51=0,"",F51/G51)</f>
        <v>1</v>
      </c>
      <c r="I51" s="7" t="s">
        <v>49</v>
      </c>
      <c r="J51" s="8"/>
      <c r="K51" s="6"/>
      <c r="L51" s="6" t="s">
        <v>98</v>
      </c>
      <c r="M51" s="8" t="n">
        <v>450000</v>
      </c>
      <c r="N51" s="6" t="s">
        <v>23</v>
      </c>
      <c r="O51" s="6" t="s">
        <v>42</v>
      </c>
      <c r="P51" s="8" t="s">
        <v>33</v>
      </c>
    </row>
    <row r="52" customFormat="false" ht="15" hidden="false" customHeight="false" outlineLevel="0" collapsed="false">
      <c r="A52" s="6" t="s">
        <v>92</v>
      </c>
      <c r="B52" s="7" t="s">
        <v>17</v>
      </c>
      <c r="C52" s="7" t="s">
        <v>103</v>
      </c>
      <c r="D52" s="6" t="s">
        <v>94</v>
      </c>
      <c r="E52" s="6" t="s">
        <v>29</v>
      </c>
      <c r="F52" s="8" t="n">
        <v>2750000</v>
      </c>
      <c r="G52" s="8" t="n">
        <v>2750000</v>
      </c>
      <c r="H52" s="9" t="n">
        <f aca="false">IF(G52=0,"",F52/G52)</f>
        <v>1</v>
      </c>
      <c r="I52" s="7" t="s">
        <v>49</v>
      </c>
      <c r="J52" s="8"/>
      <c r="K52" s="6"/>
      <c r="L52" s="6" t="s">
        <v>98</v>
      </c>
      <c r="M52" s="8" t="n">
        <v>450000</v>
      </c>
      <c r="N52" s="6" t="s">
        <v>23</v>
      </c>
      <c r="O52" s="6" t="s">
        <v>42</v>
      </c>
      <c r="P52" s="8" t="s">
        <v>33</v>
      </c>
    </row>
    <row r="53" customFormat="false" ht="15" hidden="false" customHeight="false" outlineLevel="0" collapsed="false">
      <c r="A53" s="6" t="s">
        <v>92</v>
      </c>
      <c r="B53" s="7" t="s">
        <v>17</v>
      </c>
      <c r="C53" s="7" t="s">
        <v>104</v>
      </c>
      <c r="D53" s="6" t="s">
        <v>94</v>
      </c>
      <c r="E53" s="6" t="s">
        <v>29</v>
      </c>
      <c r="F53" s="8" t="n">
        <v>2750000</v>
      </c>
      <c r="G53" s="8" t="n">
        <v>2750000</v>
      </c>
      <c r="H53" s="9" t="n">
        <f aca="false">IF(G53=0,"",F53/G53)</f>
        <v>1</v>
      </c>
      <c r="I53" s="7" t="s">
        <v>49</v>
      </c>
      <c r="J53" s="8"/>
      <c r="K53" s="6"/>
      <c r="L53" s="6" t="s">
        <v>98</v>
      </c>
      <c r="M53" s="8" t="n">
        <v>450000</v>
      </c>
      <c r="N53" s="6" t="s">
        <v>23</v>
      </c>
      <c r="O53" s="6" t="s">
        <v>42</v>
      </c>
      <c r="P53" s="8" t="s">
        <v>33</v>
      </c>
    </row>
    <row r="54" customFormat="false" ht="15" hidden="false" customHeight="false" outlineLevel="0" collapsed="false">
      <c r="A54" s="6" t="s">
        <v>92</v>
      </c>
      <c r="B54" s="7" t="s">
        <v>51</v>
      </c>
      <c r="C54" s="7" t="s">
        <v>105</v>
      </c>
      <c r="D54" s="6" t="s">
        <v>94</v>
      </c>
      <c r="E54" s="6" t="s">
        <v>29</v>
      </c>
      <c r="F54" s="8" t="n">
        <v>2250000</v>
      </c>
      <c r="G54" s="8" t="n">
        <v>2500000</v>
      </c>
      <c r="H54" s="9" t="n">
        <f aca="false">IF(G54=0,"",F54/G54)</f>
        <v>0.9</v>
      </c>
      <c r="I54" s="6" t="s">
        <v>39</v>
      </c>
      <c r="J54" s="8"/>
      <c r="K54" s="6"/>
      <c r="L54" s="6" t="s">
        <v>65</v>
      </c>
      <c r="M54" s="8" t="n">
        <v>427500</v>
      </c>
      <c r="N54" s="7" t="s">
        <v>106</v>
      </c>
      <c r="O54" s="6" t="s">
        <v>24</v>
      </c>
      <c r="P54" s="8"/>
    </row>
    <row r="55" customFormat="false" ht="15" hidden="false" customHeight="false" outlineLevel="0" collapsed="false">
      <c r="A55" s="6" t="s">
        <v>92</v>
      </c>
      <c r="B55" s="7" t="s">
        <v>51</v>
      </c>
      <c r="C55" s="7" t="s">
        <v>107</v>
      </c>
      <c r="D55" s="6" t="s">
        <v>94</v>
      </c>
      <c r="E55" s="6" t="s">
        <v>29</v>
      </c>
      <c r="F55" s="8" t="n">
        <v>2025000</v>
      </c>
      <c r="G55" s="8" t="n">
        <v>2500000</v>
      </c>
      <c r="H55" s="9" t="n">
        <f aca="false">IF(G55=0,"",F55/G55)</f>
        <v>0.81</v>
      </c>
      <c r="I55" s="6" t="s">
        <v>27</v>
      </c>
      <c r="J55" s="8"/>
      <c r="K55" s="6"/>
      <c r="L55" s="6" t="s">
        <v>98</v>
      </c>
      <c r="M55" s="8" t="n">
        <v>450000</v>
      </c>
      <c r="N55" s="6" t="s">
        <v>23</v>
      </c>
      <c r="O55" s="6" t="s">
        <v>42</v>
      </c>
      <c r="P55" s="8" t="s">
        <v>33</v>
      </c>
    </row>
    <row r="56" customFormat="false" ht="15" hidden="false" customHeight="false" outlineLevel="0" collapsed="false">
      <c r="A56" s="6" t="s">
        <v>92</v>
      </c>
      <c r="B56" s="7" t="s">
        <v>51</v>
      </c>
      <c r="C56" s="7" t="s">
        <v>108</v>
      </c>
      <c r="D56" s="6" t="s">
        <v>94</v>
      </c>
      <c r="E56" s="6" t="s">
        <v>38</v>
      </c>
      <c r="F56" s="8" t="n">
        <v>2250000</v>
      </c>
      <c r="G56" s="8" t="n">
        <v>2500000</v>
      </c>
      <c r="H56" s="9" t="n">
        <f aca="false">IF(G56=0,"",F56/G56)</f>
        <v>0.9</v>
      </c>
      <c r="I56" s="6" t="s">
        <v>39</v>
      </c>
      <c r="J56" s="8"/>
      <c r="K56" s="6"/>
      <c r="L56" s="6" t="s">
        <v>98</v>
      </c>
      <c r="M56" s="8" t="n">
        <v>450000</v>
      </c>
      <c r="N56" s="6" t="s">
        <v>23</v>
      </c>
      <c r="O56" s="6" t="s">
        <v>42</v>
      </c>
      <c r="P56" s="8" t="n">
        <v>2500000</v>
      </c>
    </row>
    <row r="57" customFormat="false" ht="15" hidden="false" customHeight="false" outlineLevel="0" collapsed="false">
      <c r="A57" s="6" t="s">
        <v>109</v>
      </c>
      <c r="B57" s="7" t="s">
        <v>17</v>
      </c>
      <c r="C57" s="7" t="s">
        <v>110</v>
      </c>
      <c r="D57" s="6" t="s">
        <v>94</v>
      </c>
      <c r="E57" s="6" t="s">
        <v>29</v>
      </c>
      <c r="F57" s="8" t="n">
        <v>2000000</v>
      </c>
      <c r="G57" s="8" t="n">
        <v>2500000</v>
      </c>
      <c r="H57" s="9" t="n">
        <f aca="false">IF(G57=0,"",F57/G57)</f>
        <v>0.8</v>
      </c>
      <c r="I57" s="6" t="s">
        <v>95</v>
      </c>
      <c r="J57" s="8"/>
      <c r="K57" s="6"/>
      <c r="L57" s="6" t="s">
        <v>65</v>
      </c>
      <c r="M57" s="8" t="n">
        <v>360000</v>
      </c>
      <c r="N57" s="6" t="s">
        <v>96</v>
      </c>
      <c r="O57" s="6" t="s">
        <v>24</v>
      </c>
      <c r="P57" s="8" t="n">
        <v>2500000</v>
      </c>
    </row>
    <row r="58" customFormat="false" ht="15" hidden="false" customHeight="false" outlineLevel="0" collapsed="false">
      <c r="A58" s="6" t="s">
        <v>109</v>
      </c>
      <c r="B58" s="7" t="s">
        <v>17</v>
      </c>
      <c r="C58" s="7" t="s">
        <v>111</v>
      </c>
      <c r="D58" s="6" t="s">
        <v>94</v>
      </c>
      <c r="E58" s="6" t="s">
        <v>38</v>
      </c>
      <c r="F58" s="8" t="n">
        <v>2250000</v>
      </c>
      <c r="G58" s="8" t="n">
        <v>2500000</v>
      </c>
      <c r="H58" s="9" t="n">
        <f aca="false">IF(G58=0,"",F58/G58)</f>
        <v>0.9</v>
      </c>
      <c r="I58" s="6" t="s">
        <v>39</v>
      </c>
      <c r="J58" s="8"/>
      <c r="K58" s="6"/>
      <c r="L58" s="6" t="s">
        <v>98</v>
      </c>
      <c r="M58" s="8" t="n">
        <v>450000</v>
      </c>
      <c r="N58" s="6" t="s">
        <v>23</v>
      </c>
      <c r="O58" s="6" t="s">
        <v>42</v>
      </c>
      <c r="P58" s="8" t="n">
        <v>2500000</v>
      </c>
    </row>
    <row r="59" customFormat="false" ht="15" hidden="false" customHeight="false" outlineLevel="0" collapsed="false">
      <c r="A59" s="6" t="s">
        <v>109</v>
      </c>
      <c r="B59" s="7" t="s">
        <v>17</v>
      </c>
      <c r="C59" s="7" t="s">
        <v>112</v>
      </c>
      <c r="D59" s="6" t="s">
        <v>94</v>
      </c>
      <c r="E59" s="6" t="s">
        <v>29</v>
      </c>
      <c r="F59" s="8" t="n">
        <v>2025000</v>
      </c>
      <c r="G59" s="8" t="n">
        <v>2500000</v>
      </c>
      <c r="H59" s="9" t="n">
        <f aca="false">IF(G59=0,"",F59/G59)</f>
        <v>0.81</v>
      </c>
      <c r="I59" s="6" t="s">
        <v>27</v>
      </c>
      <c r="J59" s="8"/>
      <c r="K59" s="6"/>
      <c r="L59" s="6" t="s">
        <v>98</v>
      </c>
      <c r="M59" s="8" t="n">
        <v>450000</v>
      </c>
      <c r="N59" s="6" t="s">
        <v>23</v>
      </c>
      <c r="O59" s="6" t="s">
        <v>42</v>
      </c>
      <c r="P59" s="8" t="s">
        <v>33</v>
      </c>
    </row>
    <row r="60" customFormat="false" ht="15" hidden="false" customHeight="false" outlineLevel="0" collapsed="false">
      <c r="A60" s="6" t="s">
        <v>109</v>
      </c>
      <c r="B60" s="7" t="s">
        <v>17</v>
      </c>
      <c r="C60" s="7" t="s">
        <v>113</v>
      </c>
      <c r="D60" s="6" t="s">
        <v>94</v>
      </c>
      <c r="E60" s="6" t="s">
        <v>38</v>
      </c>
      <c r="F60" s="8" t="n">
        <v>2250000</v>
      </c>
      <c r="G60" s="8" t="n">
        <v>2500000</v>
      </c>
      <c r="H60" s="9" t="n">
        <f aca="false">IF(G60=0,"",F60/G60)</f>
        <v>0.9</v>
      </c>
      <c r="I60" s="6" t="s">
        <v>39</v>
      </c>
      <c r="J60" s="8"/>
      <c r="K60" s="6"/>
      <c r="L60" s="6" t="s">
        <v>98</v>
      </c>
      <c r="M60" s="8" t="n">
        <v>450000</v>
      </c>
      <c r="N60" s="6" t="s">
        <v>23</v>
      </c>
      <c r="O60" s="6" t="s">
        <v>42</v>
      </c>
      <c r="P60" s="8" t="n">
        <v>3000000</v>
      </c>
    </row>
    <row r="61" customFormat="false" ht="15" hidden="false" customHeight="false" outlineLevel="0" collapsed="false">
      <c r="A61" s="6" t="s">
        <v>109</v>
      </c>
      <c r="B61" s="7" t="s">
        <v>17</v>
      </c>
      <c r="C61" s="7" t="s">
        <v>114</v>
      </c>
      <c r="D61" s="6" t="s">
        <v>94</v>
      </c>
      <c r="E61" s="6" t="s">
        <v>38</v>
      </c>
      <c r="F61" s="8" t="n">
        <v>2250000</v>
      </c>
      <c r="G61" s="8" t="n">
        <v>2500000</v>
      </c>
      <c r="H61" s="9" t="n">
        <f aca="false">IF(G61=0,"",F61/G61)</f>
        <v>0.9</v>
      </c>
      <c r="I61" s="6" t="s">
        <v>39</v>
      </c>
      <c r="J61" s="8"/>
      <c r="K61" s="6"/>
      <c r="L61" s="6" t="s">
        <v>98</v>
      </c>
      <c r="M61" s="8" t="n">
        <v>450000</v>
      </c>
      <c r="N61" s="6" t="s">
        <v>23</v>
      </c>
      <c r="O61" s="6" t="s">
        <v>42</v>
      </c>
      <c r="P61" s="8" t="n">
        <v>3000000</v>
      </c>
    </row>
    <row r="62" customFormat="false" ht="15" hidden="false" customHeight="false" outlineLevel="0" collapsed="false">
      <c r="A62" s="6" t="s">
        <v>109</v>
      </c>
      <c r="B62" s="7" t="s">
        <v>17</v>
      </c>
      <c r="C62" s="7" t="s">
        <v>115</v>
      </c>
      <c r="D62" s="6" t="s">
        <v>94</v>
      </c>
      <c r="E62" s="6" t="s">
        <v>38</v>
      </c>
      <c r="F62" s="8" t="n">
        <v>2250000</v>
      </c>
      <c r="G62" s="8" t="n">
        <v>2500000</v>
      </c>
      <c r="H62" s="9" t="n">
        <f aca="false">IF(G62=0,"",F62/G62)</f>
        <v>0.9</v>
      </c>
      <c r="I62" s="6" t="s">
        <v>39</v>
      </c>
      <c r="J62" s="8"/>
      <c r="K62" s="6"/>
      <c r="L62" s="6" t="s">
        <v>98</v>
      </c>
      <c r="M62" s="8" t="n">
        <v>450000</v>
      </c>
      <c r="N62" s="6" t="s">
        <v>23</v>
      </c>
      <c r="O62" s="6" t="s">
        <v>42</v>
      </c>
      <c r="P62" s="8" t="n">
        <v>2500000</v>
      </c>
    </row>
    <row r="63" customFormat="false" ht="15" hidden="false" customHeight="false" outlineLevel="0" collapsed="false">
      <c r="A63" s="6" t="s">
        <v>109</v>
      </c>
      <c r="B63" s="7" t="s">
        <v>17</v>
      </c>
      <c r="C63" s="7" t="s">
        <v>116</v>
      </c>
      <c r="D63" s="6" t="s">
        <v>94</v>
      </c>
      <c r="E63" s="6" t="s">
        <v>29</v>
      </c>
      <c r="F63" s="8" t="n">
        <v>2250000</v>
      </c>
      <c r="G63" s="8" t="n">
        <v>2500000</v>
      </c>
      <c r="H63" s="9" t="n">
        <f aca="false">IF(G63=0,"",F63/G63)</f>
        <v>0.9</v>
      </c>
      <c r="I63" s="6" t="s">
        <v>39</v>
      </c>
      <c r="J63" s="8"/>
      <c r="K63" s="6"/>
      <c r="L63" s="6" t="s">
        <v>65</v>
      </c>
      <c r="M63" s="8" t="n">
        <v>427500</v>
      </c>
      <c r="N63" s="7" t="s">
        <v>106</v>
      </c>
      <c r="O63" s="6" t="s">
        <v>24</v>
      </c>
      <c r="P63" s="8"/>
    </row>
    <row r="64" customFormat="false" ht="15" hidden="false" customHeight="false" outlineLevel="0" collapsed="false">
      <c r="A64" s="6" t="s">
        <v>109</v>
      </c>
      <c r="B64" s="7" t="s">
        <v>17</v>
      </c>
      <c r="C64" s="7" t="s">
        <v>117</v>
      </c>
      <c r="D64" s="6" t="s">
        <v>94</v>
      </c>
      <c r="E64" s="6" t="s">
        <v>29</v>
      </c>
      <c r="F64" s="8" t="n">
        <v>2025000</v>
      </c>
      <c r="G64" s="8" t="n">
        <v>2500000</v>
      </c>
      <c r="H64" s="9" t="n">
        <f aca="false">IF(G64=0,"",F64/G64)</f>
        <v>0.81</v>
      </c>
      <c r="I64" s="6" t="s">
        <v>27</v>
      </c>
      <c r="J64" s="8"/>
      <c r="K64" s="6"/>
      <c r="L64" s="6" t="s">
        <v>98</v>
      </c>
      <c r="M64" s="8" t="n">
        <v>450000</v>
      </c>
      <c r="N64" s="6" t="s">
        <v>23</v>
      </c>
      <c r="O64" s="6" t="s">
        <v>42</v>
      </c>
      <c r="P64" s="8" t="s">
        <v>33</v>
      </c>
    </row>
    <row r="65" customFormat="false" ht="15" hidden="false" customHeight="false" outlineLevel="0" collapsed="false">
      <c r="A65" s="6" t="s">
        <v>109</v>
      </c>
      <c r="B65" s="7" t="s">
        <v>17</v>
      </c>
      <c r="C65" s="7" t="s">
        <v>118</v>
      </c>
      <c r="D65" s="6" t="s">
        <v>94</v>
      </c>
      <c r="E65" s="6" t="s">
        <v>29</v>
      </c>
      <c r="F65" s="8" t="n">
        <v>1500000</v>
      </c>
      <c r="G65" s="8" t="n">
        <v>2500000</v>
      </c>
      <c r="H65" s="9" t="n">
        <f aca="false">IF(G65=0,"",F65/G65)</f>
        <v>0.6</v>
      </c>
      <c r="I65" s="6" t="s">
        <v>119</v>
      </c>
      <c r="J65" s="8"/>
      <c r="K65" s="6"/>
      <c r="L65" s="6" t="s">
        <v>98</v>
      </c>
      <c r="M65" s="8" t="n">
        <v>0</v>
      </c>
      <c r="N65" s="6"/>
      <c r="O65" s="6"/>
      <c r="P65" s="8" t="s">
        <v>33</v>
      </c>
    </row>
    <row r="66" customFormat="false" ht="15" hidden="false" customHeight="false" outlineLevel="0" collapsed="false">
      <c r="A66" s="6" t="s">
        <v>109</v>
      </c>
      <c r="B66" s="7" t="s">
        <v>51</v>
      </c>
      <c r="C66" s="7" t="s">
        <v>120</v>
      </c>
      <c r="D66" s="6" t="s">
        <v>94</v>
      </c>
      <c r="E66" s="6" t="s">
        <v>29</v>
      </c>
      <c r="F66" s="8" t="n">
        <v>2750000</v>
      </c>
      <c r="G66" s="8" t="n">
        <v>2750000</v>
      </c>
      <c r="H66" s="9" t="n">
        <f aca="false">IF(G66=0,"",F66/G66)</f>
        <v>1</v>
      </c>
      <c r="I66" s="7" t="s">
        <v>49</v>
      </c>
      <c r="J66" s="8"/>
      <c r="K66" s="6"/>
      <c r="L66" s="6" t="s">
        <v>98</v>
      </c>
      <c r="M66" s="8" t="n">
        <v>450000</v>
      </c>
      <c r="N66" s="6" t="s">
        <v>23</v>
      </c>
      <c r="O66" s="6" t="s">
        <v>42</v>
      </c>
      <c r="P66" s="8" t="s">
        <v>33</v>
      </c>
    </row>
    <row r="67" customFormat="false" ht="15" hidden="false" customHeight="false" outlineLevel="0" collapsed="false">
      <c r="A67" s="6" t="s">
        <v>121</v>
      </c>
      <c r="B67" s="7" t="s">
        <v>17</v>
      </c>
      <c r="C67" s="7" t="s">
        <v>122</v>
      </c>
      <c r="D67" s="6" t="s">
        <v>94</v>
      </c>
      <c r="E67" s="6" t="s">
        <v>29</v>
      </c>
      <c r="F67" s="8" t="n">
        <v>2475000</v>
      </c>
      <c r="G67" s="8" t="n">
        <v>2750000</v>
      </c>
      <c r="H67" s="9" t="n">
        <f aca="false">IF(G67=0,"",F67/G67)</f>
        <v>0.9</v>
      </c>
      <c r="I67" s="6" t="s">
        <v>39</v>
      </c>
      <c r="J67" s="8"/>
      <c r="K67" s="6"/>
      <c r="L67" s="6" t="s">
        <v>98</v>
      </c>
      <c r="M67" s="8" t="n">
        <v>450000</v>
      </c>
      <c r="N67" s="6" t="s">
        <v>23</v>
      </c>
      <c r="O67" s="6" t="s">
        <v>42</v>
      </c>
      <c r="P67" s="8" t="s">
        <v>33</v>
      </c>
    </row>
    <row r="68" customFormat="false" ht="15" hidden="false" customHeight="false" outlineLevel="0" collapsed="false">
      <c r="A68" s="6" t="s">
        <v>121</v>
      </c>
      <c r="B68" s="7" t="s">
        <v>17</v>
      </c>
      <c r="C68" s="7" t="s">
        <v>123</v>
      </c>
      <c r="D68" s="6" t="s">
        <v>94</v>
      </c>
      <c r="E68" s="6" t="s">
        <v>29</v>
      </c>
      <c r="F68" s="8" t="n">
        <v>2475000</v>
      </c>
      <c r="G68" s="8" t="n">
        <v>2750000</v>
      </c>
      <c r="H68" s="9" t="n">
        <f aca="false">IF(G68=0,"",F68/G68)</f>
        <v>0.9</v>
      </c>
      <c r="I68" s="6" t="s">
        <v>39</v>
      </c>
      <c r="J68" s="8"/>
      <c r="K68" s="6"/>
      <c r="L68" s="6" t="s">
        <v>98</v>
      </c>
      <c r="M68" s="8" t="n">
        <v>450000</v>
      </c>
      <c r="N68" s="6" t="s">
        <v>23</v>
      </c>
      <c r="O68" s="6" t="s">
        <v>42</v>
      </c>
      <c r="P68" s="8" t="s">
        <v>33</v>
      </c>
    </row>
    <row r="69" customFormat="false" ht="15" hidden="false" customHeight="false" outlineLevel="0" collapsed="false">
      <c r="A69" s="6" t="s">
        <v>121</v>
      </c>
      <c r="B69" s="7" t="s">
        <v>17</v>
      </c>
      <c r="C69" s="7" t="s">
        <v>124</v>
      </c>
      <c r="D69" s="6" t="s">
        <v>94</v>
      </c>
      <c r="E69" s="6" t="s">
        <v>38</v>
      </c>
      <c r="F69" s="8" t="n">
        <v>2475000</v>
      </c>
      <c r="G69" s="8" t="n">
        <v>2750000</v>
      </c>
      <c r="H69" s="9" t="n">
        <f aca="false">IF(G69=0,"",F69/G69)</f>
        <v>0.9</v>
      </c>
      <c r="I69" s="6" t="s">
        <v>39</v>
      </c>
      <c r="J69" s="8"/>
      <c r="K69" s="6"/>
      <c r="L69" s="6" t="s">
        <v>98</v>
      </c>
      <c r="M69" s="8" t="n">
        <v>450000</v>
      </c>
      <c r="N69" s="6" t="s">
        <v>23</v>
      </c>
      <c r="O69" s="6" t="s">
        <v>42</v>
      </c>
      <c r="P69" s="8" t="n">
        <v>2500000</v>
      </c>
    </row>
    <row r="70" customFormat="false" ht="15" hidden="false" customHeight="false" outlineLevel="0" collapsed="false">
      <c r="A70" s="6" t="s">
        <v>121</v>
      </c>
      <c r="B70" s="7" t="s">
        <v>17</v>
      </c>
      <c r="C70" s="7" t="s">
        <v>125</v>
      </c>
      <c r="D70" s="6" t="s">
        <v>94</v>
      </c>
      <c r="E70" s="6" t="s">
        <v>38</v>
      </c>
      <c r="F70" s="8" t="n">
        <v>2475000</v>
      </c>
      <c r="G70" s="8" t="n">
        <v>2750000</v>
      </c>
      <c r="H70" s="9" t="n">
        <f aca="false">IF(G70=0,"",F70/G70)</f>
        <v>0.9</v>
      </c>
      <c r="I70" s="6" t="s">
        <v>39</v>
      </c>
      <c r="J70" s="8"/>
      <c r="K70" s="6"/>
      <c r="L70" s="6" t="s">
        <v>98</v>
      </c>
      <c r="M70" s="8" t="n">
        <v>450000</v>
      </c>
      <c r="N70" s="6" t="s">
        <v>23</v>
      </c>
      <c r="O70" s="6" t="s">
        <v>42</v>
      </c>
      <c r="P70" s="8" t="n">
        <v>2500000</v>
      </c>
    </row>
    <row r="71" customFormat="false" ht="15" hidden="false" customHeight="false" outlineLevel="0" collapsed="false">
      <c r="A71" s="6" t="s">
        <v>121</v>
      </c>
      <c r="B71" s="7" t="s">
        <v>17</v>
      </c>
      <c r="C71" s="7" t="s">
        <v>126</v>
      </c>
      <c r="D71" s="6" t="s">
        <v>94</v>
      </c>
      <c r="E71" s="6" t="s">
        <v>29</v>
      </c>
      <c r="F71" s="8" t="n">
        <v>2475000</v>
      </c>
      <c r="G71" s="8" t="n">
        <v>2750000</v>
      </c>
      <c r="H71" s="9" t="n">
        <f aca="false">IF(G71=0,"",F71/G71)</f>
        <v>0.9</v>
      </c>
      <c r="I71" s="6" t="s">
        <v>39</v>
      </c>
      <c r="J71" s="8"/>
      <c r="K71" s="6"/>
      <c r="L71" s="6" t="s">
        <v>65</v>
      </c>
      <c r="M71" s="8" t="n">
        <v>427500</v>
      </c>
      <c r="N71" s="7" t="s">
        <v>106</v>
      </c>
      <c r="O71" s="6" t="s">
        <v>24</v>
      </c>
      <c r="P71" s="8"/>
    </row>
    <row r="72" customFormat="false" ht="15" hidden="false" customHeight="false" outlineLevel="0" collapsed="false">
      <c r="A72" s="6" t="s">
        <v>121</v>
      </c>
      <c r="B72" s="7" t="s">
        <v>17</v>
      </c>
      <c r="C72" s="7" t="s">
        <v>127</v>
      </c>
      <c r="D72" s="6" t="s">
        <v>94</v>
      </c>
      <c r="E72" s="6" t="s">
        <v>38</v>
      </c>
      <c r="F72" s="8" t="n">
        <v>2475000</v>
      </c>
      <c r="G72" s="8" t="n">
        <v>2750000</v>
      </c>
      <c r="H72" s="9" t="n">
        <f aca="false">IF(G72=0,"",F72/G72)</f>
        <v>0.9</v>
      </c>
      <c r="I72" s="6" t="s">
        <v>39</v>
      </c>
      <c r="J72" s="8"/>
      <c r="K72" s="6"/>
      <c r="L72" s="6" t="s">
        <v>98</v>
      </c>
      <c r="M72" s="8" t="n">
        <v>450000</v>
      </c>
      <c r="N72" s="6" t="s">
        <v>23</v>
      </c>
      <c r="O72" s="6" t="s">
        <v>42</v>
      </c>
      <c r="P72" s="8" t="n">
        <v>2500000</v>
      </c>
    </row>
    <row r="73" customFormat="false" ht="15" hidden="false" customHeight="false" outlineLevel="0" collapsed="false">
      <c r="A73" s="6" t="s">
        <v>121</v>
      </c>
      <c r="B73" s="7" t="s">
        <v>17</v>
      </c>
      <c r="C73" s="7" t="s">
        <v>128</v>
      </c>
      <c r="D73" s="6" t="s">
        <v>94</v>
      </c>
      <c r="E73" s="6" t="s">
        <v>29</v>
      </c>
      <c r="F73" s="8" t="n">
        <v>2475000</v>
      </c>
      <c r="G73" s="8" t="n">
        <v>2750000</v>
      </c>
      <c r="H73" s="9" t="n">
        <f aca="false">IF(G73=0,"",F73/G73)</f>
        <v>0.9</v>
      </c>
      <c r="I73" s="6" t="s">
        <v>39</v>
      </c>
      <c r="J73" s="8"/>
      <c r="K73" s="6"/>
      <c r="L73" s="6" t="s">
        <v>98</v>
      </c>
      <c r="M73" s="8" t="n">
        <v>450000</v>
      </c>
      <c r="N73" s="6" t="s">
        <v>23</v>
      </c>
      <c r="O73" s="6" t="s">
        <v>42</v>
      </c>
      <c r="P73" s="8" t="s">
        <v>33</v>
      </c>
    </row>
    <row r="74" customFormat="false" ht="15" hidden="false" customHeight="false" outlineLevel="0" collapsed="false">
      <c r="A74" s="6" t="s">
        <v>121</v>
      </c>
      <c r="B74" s="7" t="s">
        <v>17</v>
      </c>
      <c r="C74" s="7" t="s">
        <v>129</v>
      </c>
      <c r="D74" s="6" t="s">
        <v>94</v>
      </c>
      <c r="E74" s="6" t="s">
        <v>29</v>
      </c>
      <c r="F74" s="8" t="n">
        <v>2750000</v>
      </c>
      <c r="G74" s="8" t="n">
        <v>2750000</v>
      </c>
      <c r="H74" s="9" t="n">
        <f aca="false">IF(G74=0,"",F74/G74)</f>
        <v>1</v>
      </c>
      <c r="I74" s="7" t="s">
        <v>49</v>
      </c>
      <c r="J74" s="8"/>
      <c r="K74" s="6"/>
      <c r="L74" s="6" t="s">
        <v>98</v>
      </c>
      <c r="M74" s="8" t="n">
        <v>450000</v>
      </c>
      <c r="N74" s="6" t="s">
        <v>23</v>
      </c>
      <c r="O74" s="6" t="s">
        <v>42</v>
      </c>
      <c r="P74" s="8" t="s">
        <v>33</v>
      </c>
    </row>
    <row r="75" customFormat="false" ht="15" hidden="false" customHeight="false" outlineLevel="0" collapsed="false">
      <c r="A75" s="6" t="s">
        <v>121</v>
      </c>
      <c r="B75" s="7" t="s">
        <v>17</v>
      </c>
      <c r="C75" s="7" t="s">
        <v>130</v>
      </c>
      <c r="D75" s="6" t="s">
        <v>94</v>
      </c>
      <c r="E75" s="6" t="s">
        <v>29</v>
      </c>
      <c r="F75" s="8" t="n">
        <v>2750000</v>
      </c>
      <c r="G75" s="8" t="n">
        <v>2750000</v>
      </c>
      <c r="H75" s="9" t="n">
        <f aca="false">IF(G75=0,"",F75/G75)</f>
        <v>1</v>
      </c>
      <c r="I75" s="7" t="s">
        <v>49</v>
      </c>
      <c r="J75" s="8"/>
      <c r="K75" s="6"/>
      <c r="L75" s="6" t="s">
        <v>98</v>
      </c>
      <c r="M75" s="8" t="n">
        <v>450000</v>
      </c>
      <c r="N75" s="6" t="s">
        <v>23</v>
      </c>
      <c r="O75" s="6" t="s">
        <v>42</v>
      </c>
      <c r="P75" s="8" t="s">
        <v>33</v>
      </c>
    </row>
    <row r="76" customFormat="false" ht="15" hidden="false" customHeight="false" outlineLevel="0" collapsed="false">
      <c r="A76" s="6" t="s">
        <v>121</v>
      </c>
      <c r="B76" s="7" t="s">
        <v>17</v>
      </c>
      <c r="C76" s="7" t="s">
        <v>131</v>
      </c>
      <c r="D76" s="6" t="s">
        <v>94</v>
      </c>
      <c r="E76" s="6" t="s">
        <v>29</v>
      </c>
      <c r="F76" s="8" t="n">
        <v>2750000</v>
      </c>
      <c r="G76" s="8" t="n">
        <v>2750000</v>
      </c>
      <c r="H76" s="9" t="n">
        <f aca="false">IF(G76=0,"",F76/G76)</f>
        <v>1</v>
      </c>
      <c r="I76" s="7" t="s">
        <v>49</v>
      </c>
      <c r="J76" s="8"/>
      <c r="K76" s="6"/>
      <c r="L76" s="6" t="s">
        <v>98</v>
      </c>
      <c r="M76" s="8" t="n">
        <v>450000</v>
      </c>
      <c r="N76" s="6" t="s">
        <v>23</v>
      </c>
      <c r="O76" s="6" t="s">
        <v>42</v>
      </c>
      <c r="P76" s="8" t="s">
        <v>33</v>
      </c>
    </row>
    <row r="77" customFormat="false" ht="15" hidden="false" customHeight="false" outlineLevel="0" collapsed="false">
      <c r="A77" s="6" t="s">
        <v>121</v>
      </c>
      <c r="B77" s="7" t="s">
        <v>51</v>
      </c>
      <c r="C77" s="7" t="s">
        <v>132</v>
      </c>
      <c r="D77" s="6" t="s">
        <v>94</v>
      </c>
      <c r="E77" s="6" t="s">
        <v>29</v>
      </c>
      <c r="F77" s="8" t="n">
        <v>2750000</v>
      </c>
      <c r="G77" s="8" t="n">
        <v>2750000</v>
      </c>
      <c r="H77" s="9" t="n">
        <f aca="false">IF(G77=0,"",F77/G77)</f>
        <v>1</v>
      </c>
      <c r="I77" s="7" t="s">
        <v>49</v>
      </c>
      <c r="J77" s="8"/>
      <c r="K77" s="6"/>
      <c r="L77" s="6" t="s">
        <v>65</v>
      </c>
      <c r="M77" s="8" t="n">
        <v>427500</v>
      </c>
      <c r="N77" s="7" t="s">
        <v>106</v>
      </c>
      <c r="O77" s="6" t="s">
        <v>24</v>
      </c>
      <c r="P77" s="8"/>
    </row>
    <row r="78" customFormat="false" ht="15" hidden="false" customHeight="false" outlineLevel="0" collapsed="false">
      <c r="A78" s="6" t="s">
        <v>121</v>
      </c>
      <c r="B78" s="7" t="s">
        <v>51</v>
      </c>
      <c r="C78" s="7" t="s">
        <v>133</v>
      </c>
      <c r="D78" s="6" t="s">
        <v>94</v>
      </c>
      <c r="E78" s="6" t="s">
        <v>29</v>
      </c>
      <c r="F78" s="8" t="n">
        <v>2475000</v>
      </c>
      <c r="G78" s="8" t="n">
        <v>2750000</v>
      </c>
      <c r="H78" s="9" t="n">
        <f aca="false">IF(G78=0,"",F78/G78)</f>
        <v>0.9</v>
      </c>
      <c r="I78" s="6" t="s">
        <v>39</v>
      </c>
      <c r="J78" s="8"/>
      <c r="K78" s="6"/>
      <c r="L78" s="6" t="s">
        <v>65</v>
      </c>
      <c r="M78" s="8" t="n">
        <v>360000</v>
      </c>
      <c r="N78" s="6" t="s">
        <v>96</v>
      </c>
      <c r="O78" s="6" t="s">
        <v>24</v>
      </c>
      <c r="P78" s="8" t="n">
        <v>2500000</v>
      </c>
    </row>
    <row r="79" customFormat="false" ht="15" hidden="false" customHeight="false" outlineLevel="0" collapsed="false">
      <c r="A79" s="6" t="s">
        <v>134</v>
      </c>
      <c r="B79" s="7" t="s">
        <v>17</v>
      </c>
      <c r="C79" s="7" t="s">
        <v>135</v>
      </c>
      <c r="D79" s="6" t="s">
        <v>94</v>
      </c>
      <c r="E79" s="6" t="s">
        <v>29</v>
      </c>
      <c r="F79" s="8" t="n">
        <v>2025000</v>
      </c>
      <c r="G79" s="8" t="n">
        <v>2500000</v>
      </c>
      <c r="H79" s="9" t="n">
        <f aca="false">IF(G79=0,"",F79/G79)</f>
        <v>0.81</v>
      </c>
      <c r="I79" s="6" t="s">
        <v>27</v>
      </c>
      <c r="J79" s="8"/>
      <c r="K79" s="6"/>
      <c r="L79" s="6" t="s">
        <v>98</v>
      </c>
      <c r="M79" s="8" t="n">
        <v>450000</v>
      </c>
      <c r="N79" s="6" t="s">
        <v>23</v>
      </c>
      <c r="O79" s="6" t="s">
        <v>42</v>
      </c>
      <c r="P79" s="8" t="s">
        <v>33</v>
      </c>
    </row>
    <row r="80" customFormat="false" ht="15" hidden="false" customHeight="false" outlineLevel="0" collapsed="false">
      <c r="A80" s="6" t="s">
        <v>134</v>
      </c>
      <c r="B80" s="7" t="s">
        <v>17</v>
      </c>
      <c r="C80" s="7" t="s">
        <v>136</v>
      </c>
      <c r="D80" s="6" t="s">
        <v>94</v>
      </c>
      <c r="E80" s="6" t="s">
        <v>29</v>
      </c>
      <c r="F80" s="8" t="n">
        <v>1800000</v>
      </c>
      <c r="G80" s="8" t="n">
        <v>2500000</v>
      </c>
      <c r="H80" s="9" t="n">
        <f aca="false">IF(G80=0,"",F80/G80)</f>
        <v>0.72</v>
      </c>
      <c r="I80" s="6" t="s">
        <v>85</v>
      </c>
      <c r="J80" s="8"/>
      <c r="K80" s="6"/>
      <c r="L80" s="6" t="s">
        <v>65</v>
      </c>
      <c r="M80" s="8" t="n">
        <v>315000</v>
      </c>
      <c r="N80" s="6" t="s">
        <v>137</v>
      </c>
      <c r="O80" s="6" t="s">
        <v>24</v>
      </c>
      <c r="P80" s="8"/>
    </row>
    <row r="81" customFormat="false" ht="15" hidden="false" customHeight="false" outlineLevel="0" collapsed="false">
      <c r="A81" s="6" t="s">
        <v>134</v>
      </c>
      <c r="B81" s="7" t="s">
        <v>17</v>
      </c>
      <c r="C81" s="7" t="s">
        <v>138</v>
      </c>
      <c r="D81" s="6" t="s">
        <v>94</v>
      </c>
      <c r="E81" s="6" t="s">
        <v>29</v>
      </c>
      <c r="F81" s="8" t="n">
        <v>1750000</v>
      </c>
      <c r="G81" s="8" t="n">
        <v>2500000</v>
      </c>
      <c r="H81" s="9" t="n">
        <f aca="false">IF(G81=0,"",F81/G81)</f>
        <v>0.7</v>
      </c>
      <c r="I81" s="6" t="s">
        <v>139</v>
      </c>
      <c r="J81" s="8"/>
      <c r="K81" s="6"/>
      <c r="L81" s="6" t="s">
        <v>65</v>
      </c>
      <c r="M81" s="8" t="n">
        <v>315000</v>
      </c>
      <c r="N81" s="6" t="s">
        <v>137</v>
      </c>
      <c r="O81" s="6" t="s">
        <v>24</v>
      </c>
      <c r="P81" s="8"/>
    </row>
    <row r="82" customFormat="false" ht="15" hidden="false" customHeight="false" outlineLevel="0" collapsed="false">
      <c r="A82" s="6" t="s">
        <v>134</v>
      </c>
      <c r="B82" s="7" t="s">
        <v>17</v>
      </c>
      <c r="C82" s="7" t="s">
        <v>140</v>
      </c>
      <c r="D82" s="6" t="s">
        <v>94</v>
      </c>
      <c r="E82" s="6" t="s">
        <v>29</v>
      </c>
      <c r="F82" s="8" t="n">
        <v>2000000</v>
      </c>
      <c r="G82" s="8" t="n">
        <v>2500000</v>
      </c>
      <c r="H82" s="9" t="n">
        <f aca="false">IF(G82=0,"",F82/G82)</f>
        <v>0.8</v>
      </c>
      <c r="I82" s="6" t="s">
        <v>95</v>
      </c>
      <c r="J82" s="8"/>
      <c r="K82" s="6"/>
      <c r="L82" s="6" t="s">
        <v>65</v>
      </c>
      <c r="M82" s="8" t="n">
        <v>360000</v>
      </c>
      <c r="N82" s="6" t="s">
        <v>96</v>
      </c>
      <c r="O82" s="6" t="s">
        <v>24</v>
      </c>
      <c r="P82" s="8"/>
    </row>
    <row r="83" customFormat="false" ht="15" hidden="false" customHeight="false" outlineLevel="0" collapsed="false">
      <c r="A83" s="6" t="s">
        <v>134</v>
      </c>
      <c r="B83" s="7" t="s">
        <v>17</v>
      </c>
      <c r="C83" s="7" t="s">
        <v>141</v>
      </c>
      <c r="D83" s="6" t="s">
        <v>94</v>
      </c>
      <c r="E83" s="6" t="s">
        <v>29</v>
      </c>
      <c r="F83" s="8" t="n">
        <v>2250000</v>
      </c>
      <c r="G83" s="8" t="n">
        <v>2500000</v>
      </c>
      <c r="H83" s="9" t="n">
        <f aca="false">IF(G83=0,"",F83/G83)</f>
        <v>0.9</v>
      </c>
      <c r="I83" s="6" t="s">
        <v>39</v>
      </c>
      <c r="J83" s="8"/>
      <c r="K83" s="6"/>
      <c r="L83" s="6" t="s">
        <v>65</v>
      </c>
      <c r="M83" s="8" t="n">
        <v>427500</v>
      </c>
      <c r="N83" s="7" t="s">
        <v>106</v>
      </c>
      <c r="O83" s="6" t="s">
        <v>24</v>
      </c>
      <c r="P83" s="8"/>
    </row>
    <row r="84" customFormat="false" ht="15" hidden="false" customHeight="false" outlineLevel="0" collapsed="false">
      <c r="A84" s="6" t="s">
        <v>134</v>
      </c>
      <c r="B84" s="7" t="s">
        <v>17</v>
      </c>
      <c r="C84" s="7" t="s">
        <v>142</v>
      </c>
      <c r="D84" s="6" t="s">
        <v>94</v>
      </c>
      <c r="E84" s="6" t="s">
        <v>29</v>
      </c>
      <c r="F84" s="8" t="n">
        <v>1800000</v>
      </c>
      <c r="G84" s="8" t="n">
        <v>2500000</v>
      </c>
      <c r="H84" s="9" t="n">
        <f aca="false">IF(G84=0,"",F84/G84)</f>
        <v>0.72</v>
      </c>
      <c r="I84" s="6" t="s">
        <v>85</v>
      </c>
      <c r="J84" s="8"/>
      <c r="K84" s="6"/>
      <c r="L84" s="6" t="s">
        <v>65</v>
      </c>
      <c r="M84" s="8" t="n">
        <v>315000</v>
      </c>
      <c r="N84" s="6" t="s">
        <v>137</v>
      </c>
      <c r="O84" s="6" t="s">
        <v>24</v>
      </c>
      <c r="P84" s="8"/>
    </row>
    <row r="85" customFormat="false" ht="15" hidden="false" customHeight="false" outlineLevel="0" collapsed="false">
      <c r="A85" s="6" t="s">
        <v>134</v>
      </c>
      <c r="B85" s="7" t="s">
        <v>17</v>
      </c>
      <c r="C85" s="7" t="s">
        <v>143</v>
      </c>
      <c r="D85" s="6" t="s">
        <v>94</v>
      </c>
      <c r="E85" s="6" t="s">
        <v>38</v>
      </c>
      <c r="F85" s="8" t="n">
        <v>2250000</v>
      </c>
      <c r="G85" s="8" t="n">
        <v>2500000</v>
      </c>
      <c r="H85" s="9" t="n">
        <f aca="false">IF(G85=0,"",F85/G85)</f>
        <v>0.9</v>
      </c>
      <c r="I85" s="6" t="s">
        <v>39</v>
      </c>
      <c r="J85" s="8"/>
      <c r="K85" s="6"/>
      <c r="L85" s="6" t="s">
        <v>144</v>
      </c>
      <c r="M85" s="8" t="n">
        <v>427500</v>
      </c>
      <c r="N85" s="6" t="s">
        <v>23</v>
      </c>
      <c r="O85" s="6" t="s">
        <v>31</v>
      </c>
      <c r="P85" s="8" t="n">
        <v>2500000</v>
      </c>
    </row>
    <row r="86" customFormat="false" ht="15" hidden="false" customHeight="false" outlineLevel="0" collapsed="false">
      <c r="A86" s="6" t="s">
        <v>134</v>
      </c>
      <c r="B86" s="7" t="s">
        <v>17</v>
      </c>
      <c r="C86" s="7" t="s">
        <v>145</v>
      </c>
      <c r="D86" s="6" t="s">
        <v>94</v>
      </c>
      <c r="E86" s="6" t="s">
        <v>29</v>
      </c>
      <c r="F86" s="8" t="n">
        <v>2250000</v>
      </c>
      <c r="G86" s="8" t="n">
        <v>2500000</v>
      </c>
      <c r="H86" s="9" t="n">
        <f aca="false">IF(G86=0,"",F86/G86)</f>
        <v>0.9</v>
      </c>
      <c r="I86" s="6" t="s">
        <v>39</v>
      </c>
      <c r="J86" s="8"/>
      <c r="K86" s="6"/>
      <c r="L86" s="6" t="s">
        <v>65</v>
      </c>
      <c r="M86" s="8" t="n">
        <v>405000</v>
      </c>
      <c r="N86" s="6" t="s">
        <v>23</v>
      </c>
      <c r="O86" s="6" t="s">
        <v>24</v>
      </c>
      <c r="P86" s="8"/>
    </row>
    <row r="87" customFormat="false" ht="15" hidden="false" customHeight="false" outlineLevel="0" collapsed="false">
      <c r="A87" s="6" t="s">
        <v>134</v>
      </c>
      <c r="B87" s="7" t="s">
        <v>17</v>
      </c>
      <c r="C87" s="7" t="s">
        <v>146</v>
      </c>
      <c r="D87" s="6" t="s">
        <v>94</v>
      </c>
      <c r="E87" s="6" t="s">
        <v>34</v>
      </c>
      <c r="F87" s="8" t="n">
        <v>0</v>
      </c>
      <c r="G87" s="8" t="n">
        <v>2750000</v>
      </c>
      <c r="H87" s="9" t="n">
        <f aca="false">IF(G87=0,"",F87/G87)</f>
        <v>0</v>
      </c>
      <c r="I87" s="7" t="s">
        <v>82</v>
      </c>
      <c r="J87" s="8"/>
      <c r="K87" s="6"/>
      <c r="L87" s="6" t="s">
        <v>34</v>
      </c>
      <c r="M87" s="8" t="n">
        <v>0</v>
      </c>
      <c r="N87" s="6"/>
      <c r="O87" s="6"/>
      <c r="P87" s="8"/>
    </row>
    <row r="88" customFormat="false" ht="15" hidden="false" customHeight="false" outlineLevel="0" collapsed="false">
      <c r="A88" s="6" t="s">
        <v>134</v>
      </c>
      <c r="B88" s="7" t="s">
        <v>17</v>
      </c>
      <c r="C88" s="7" t="s">
        <v>147</v>
      </c>
      <c r="D88" s="6" t="s">
        <v>94</v>
      </c>
      <c r="E88" s="6" t="s">
        <v>29</v>
      </c>
      <c r="F88" s="8" t="n">
        <v>2250000</v>
      </c>
      <c r="G88" s="8" t="n">
        <v>2500000</v>
      </c>
      <c r="H88" s="9" t="n">
        <f aca="false">IF(G88=0,"",F88/G88)</f>
        <v>0.9</v>
      </c>
      <c r="I88" s="6" t="s">
        <v>39</v>
      </c>
      <c r="J88" s="8"/>
      <c r="K88" s="6"/>
      <c r="L88" s="6" t="s">
        <v>65</v>
      </c>
      <c r="M88" s="8" t="n">
        <v>427500</v>
      </c>
      <c r="N88" s="7" t="s">
        <v>106</v>
      </c>
      <c r="O88" s="6" t="s">
        <v>24</v>
      </c>
      <c r="P88" s="8"/>
    </row>
    <row r="89" customFormat="false" ht="15" hidden="false" customHeight="false" outlineLevel="0" collapsed="false">
      <c r="A89" s="6" t="s">
        <v>134</v>
      </c>
      <c r="B89" s="7" t="s">
        <v>17</v>
      </c>
      <c r="C89" s="7" t="s">
        <v>148</v>
      </c>
      <c r="D89" s="6" t="s">
        <v>94</v>
      </c>
      <c r="E89" s="6" t="s">
        <v>29</v>
      </c>
      <c r="F89" s="8" t="n">
        <v>2250000</v>
      </c>
      <c r="G89" s="8" t="n">
        <v>2500000</v>
      </c>
      <c r="H89" s="9" t="n">
        <f aca="false">IF(G89=0,"",F89/G89)</f>
        <v>0.9</v>
      </c>
      <c r="I89" s="6" t="s">
        <v>39</v>
      </c>
      <c r="J89" s="8"/>
      <c r="K89" s="6"/>
      <c r="L89" s="6" t="s">
        <v>65</v>
      </c>
      <c r="M89" s="8" t="n">
        <v>427500</v>
      </c>
      <c r="N89" s="7" t="s">
        <v>106</v>
      </c>
      <c r="O89" s="6" t="s">
        <v>24</v>
      </c>
      <c r="P89" s="8"/>
    </row>
    <row r="90" customFormat="false" ht="15" hidden="false" customHeight="false" outlineLevel="0" collapsed="false">
      <c r="A90" s="6" t="s">
        <v>134</v>
      </c>
      <c r="B90" s="7" t="s">
        <v>17</v>
      </c>
      <c r="C90" s="7" t="s">
        <v>149</v>
      </c>
      <c r="D90" s="6" t="s">
        <v>94</v>
      </c>
      <c r="E90" s="6" t="s">
        <v>29</v>
      </c>
      <c r="F90" s="8" t="n">
        <v>2750000</v>
      </c>
      <c r="G90" s="8" t="n">
        <v>2750000</v>
      </c>
      <c r="H90" s="9" t="n">
        <f aca="false">IF(G90=0,"",F90/G90)</f>
        <v>1</v>
      </c>
      <c r="I90" s="7" t="s">
        <v>49</v>
      </c>
      <c r="J90" s="8"/>
      <c r="K90" s="6"/>
      <c r="L90" s="6" t="s">
        <v>98</v>
      </c>
      <c r="M90" s="8" t="n">
        <v>450000</v>
      </c>
      <c r="N90" s="6" t="s">
        <v>23</v>
      </c>
      <c r="O90" s="6" t="s">
        <v>42</v>
      </c>
      <c r="P90" s="8" t="s">
        <v>33</v>
      </c>
    </row>
    <row r="91" customFormat="false" ht="15" hidden="false" customHeight="false" outlineLevel="0" collapsed="false">
      <c r="A91" s="6" t="s">
        <v>134</v>
      </c>
      <c r="B91" s="7" t="s">
        <v>51</v>
      </c>
      <c r="C91" s="7" t="s">
        <v>150</v>
      </c>
      <c r="D91" s="6" t="s">
        <v>94</v>
      </c>
      <c r="E91" s="6" t="s">
        <v>29</v>
      </c>
      <c r="F91" s="8" t="n">
        <v>2025000</v>
      </c>
      <c r="G91" s="8" t="n">
        <v>2500000</v>
      </c>
      <c r="H91" s="9" t="n">
        <f aca="false">IF(G91=0,"",F91/G91)</f>
        <v>0.81</v>
      </c>
      <c r="I91" s="6" t="s">
        <v>27</v>
      </c>
      <c r="J91" s="8"/>
      <c r="K91" s="6"/>
      <c r="L91" s="6" t="s">
        <v>144</v>
      </c>
      <c r="M91" s="8" t="n">
        <v>427500</v>
      </c>
      <c r="N91" s="6" t="s">
        <v>23</v>
      </c>
      <c r="O91" s="6" t="s">
        <v>31</v>
      </c>
      <c r="P91" s="8"/>
    </row>
    <row r="92" customFormat="false" ht="15" hidden="false" customHeight="false" outlineLevel="0" collapsed="false">
      <c r="A92" s="6" t="s">
        <v>151</v>
      </c>
      <c r="B92" s="7" t="s">
        <v>17</v>
      </c>
      <c r="C92" s="7" t="s">
        <v>152</v>
      </c>
      <c r="D92" s="6" t="s">
        <v>94</v>
      </c>
      <c r="E92" s="6" t="s">
        <v>29</v>
      </c>
      <c r="F92" s="8" t="n">
        <v>2025000</v>
      </c>
      <c r="G92" s="8" t="n">
        <v>2500000</v>
      </c>
      <c r="H92" s="9" t="n">
        <f aca="false">IF(G92=0,"",F92/G92)</f>
        <v>0.81</v>
      </c>
      <c r="I92" s="6" t="s">
        <v>27</v>
      </c>
      <c r="J92" s="8"/>
      <c r="K92" s="6"/>
      <c r="L92" s="6" t="s">
        <v>98</v>
      </c>
      <c r="M92" s="8" t="n">
        <v>450000</v>
      </c>
      <c r="N92" s="6" t="s">
        <v>23</v>
      </c>
      <c r="O92" s="6" t="s">
        <v>42</v>
      </c>
      <c r="P92" s="8" t="s">
        <v>33</v>
      </c>
    </row>
    <row r="93" customFormat="false" ht="15" hidden="false" customHeight="false" outlineLevel="0" collapsed="false">
      <c r="A93" s="6" t="s">
        <v>151</v>
      </c>
      <c r="B93" s="7" t="s">
        <v>17</v>
      </c>
      <c r="C93" s="7" t="s">
        <v>153</v>
      </c>
      <c r="D93" s="6" t="s">
        <v>94</v>
      </c>
      <c r="E93" s="6" t="s">
        <v>38</v>
      </c>
      <c r="F93" s="8" t="n">
        <v>2250000</v>
      </c>
      <c r="G93" s="8" t="n">
        <v>2500000</v>
      </c>
      <c r="H93" s="9" t="n">
        <f aca="false">IF(G93=0,"",F93/G93)</f>
        <v>0.9</v>
      </c>
      <c r="I93" s="6" t="s">
        <v>39</v>
      </c>
      <c r="J93" s="8"/>
      <c r="K93" s="6"/>
      <c r="L93" s="6" t="s">
        <v>98</v>
      </c>
      <c r="M93" s="8" t="n">
        <v>450000</v>
      </c>
      <c r="N93" s="6" t="s">
        <v>23</v>
      </c>
      <c r="O93" s="6" t="s">
        <v>42</v>
      </c>
      <c r="P93" s="8" t="n">
        <v>2500000</v>
      </c>
    </row>
    <row r="94" customFormat="false" ht="15" hidden="false" customHeight="false" outlineLevel="0" collapsed="false">
      <c r="A94" s="6" t="s">
        <v>151</v>
      </c>
      <c r="B94" s="7" t="s">
        <v>17</v>
      </c>
      <c r="C94" s="7" t="s">
        <v>154</v>
      </c>
      <c r="D94" s="6" t="s">
        <v>94</v>
      </c>
      <c r="E94" s="6" t="s">
        <v>29</v>
      </c>
      <c r="F94" s="8" t="n">
        <v>2250000</v>
      </c>
      <c r="G94" s="8" t="n">
        <v>2500000</v>
      </c>
      <c r="H94" s="9" t="n">
        <f aca="false">IF(G94=0,"",F94/G94)</f>
        <v>0.9</v>
      </c>
      <c r="I94" s="6" t="s">
        <v>39</v>
      </c>
      <c r="J94" s="8"/>
      <c r="K94" s="6"/>
      <c r="L94" s="6" t="s">
        <v>33</v>
      </c>
      <c r="M94" s="8"/>
      <c r="N94" s="6"/>
      <c r="O94" s="6"/>
      <c r="P94" s="8"/>
    </row>
    <row r="95" customFormat="false" ht="15" hidden="false" customHeight="false" outlineLevel="0" collapsed="false">
      <c r="A95" s="6" t="s">
        <v>151</v>
      </c>
      <c r="B95" s="7" t="s">
        <v>17</v>
      </c>
      <c r="C95" s="7" t="s">
        <v>155</v>
      </c>
      <c r="D95" s="6" t="s">
        <v>94</v>
      </c>
      <c r="E95" s="6" t="s">
        <v>29</v>
      </c>
      <c r="F95" s="8" t="n">
        <v>2250000</v>
      </c>
      <c r="G95" s="8" t="n">
        <v>2500000</v>
      </c>
      <c r="H95" s="9" t="n">
        <f aca="false">IF(G95=0,"",F95/G95)</f>
        <v>0.9</v>
      </c>
      <c r="I95" s="6" t="s">
        <v>39</v>
      </c>
      <c r="J95" s="8"/>
      <c r="K95" s="6"/>
      <c r="L95" s="6" t="s">
        <v>65</v>
      </c>
      <c r="M95" s="8" t="n">
        <v>427500</v>
      </c>
      <c r="N95" s="7" t="s">
        <v>106</v>
      </c>
      <c r="O95" s="6" t="s">
        <v>24</v>
      </c>
      <c r="P95" s="8"/>
    </row>
    <row r="96" customFormat="false" ht="15" hidden="false" customHeight="false" outlineLevel="0" collapsed="false">
      <c r="A96" s="6" t="s">
        <v>151</v>
      </c>
      <c r="B96" s="7" t="s">
        <v>17</v>
      </c>
      <c r="C96" s="7" t="s">
        <v>156</v>
      </c>
      <c r="D96" s="6" t="s">
        <v>94</v>
      </c>
      <c r="E96" s="6" t="s">
        <v>29</v>
      </c>
      <c r="F96" s="8" t="n">
        <v>2250000</v>
      </c>
      <c r="G96" s="8" t="n">
        <v>2500000</v>
      </c>
      <c r="H96" s="9" t="n">
        <f aca="false">IF(G96=0,"",F96/G96)</f>
        <v>0.9</v>
      </c>
      <c r="I96" s="6" t="s">
        <v>39</v>
      </c>
      <c r="J96" s="8"/>
      <c r="K96" s="6"/>
      <c r="L96" s="6" t="s">
        <v>65</v>
      </c>
      <c r="M96" s="8" t="n">
        <v>427500</v>
      </c>
      <c r="N96" s="7" t="s">
        <v>106</v>
      </c>
      <c r="O96" s="6" t="s">
        <v>24</v>
      </c>
      <c r="P96" s="8"/>
    </row>
    <row r="97" customFormat="false" ht="15" hidden="false" customHeight="false" outlineLevel="0" collapsed="false">
      <c r="A97" s="6" t="s">
        <v>151</v>
      </c>
      <c r="B97" s="7" t="s">
        <v>17</v>
      </c>
      <c r="C97" s="7" t="s">
        <v>157</v>
      </c>
      <c r="D97" s="6" t="s">
        <v>94</v>
      </c>
      <c r="E97" s="6" t="s">
        <v>29</v>
      </c>
      <c r="F97" s="8" t="n">
        <v>2250000</v>
      </c>
      <c r="G97" s="8" t="n">
        <v>2500000</v>
      </c>
      <c r="H97" s="9" t="n">
        <f aca="false">IF(G97=0,"",F97/G97)</f>
        <v>0.9</v>
      </c>
      <c r="I97" s="6" t="s">
        <v>39</v>
      </c>
      <c r="J97" s="8"/>
      <c r="K97" s="6"/>
      <c r="L97" s="6" t="s">
        <v>65</v>
      </c>
      <c r="M97" s="8" t="n">
        <v>427500</v>
      </c>
      <c r="N97" s="7" t="s">
        <v>106</v>
      </c>
      <c r="O97" s="6" t="s">
        <v>24</v>
      </c>
      <c r="P97" s="8"/>
    </row>
    <row r="98" customFormat="false" ht="15" hidden="false" customHeight="false" outlineLevel="0" collapsed="false">
      <c r="A98" s="6" t="s">
        <v>151</v>
      </c>
      <c r="B98" s="7" t="s">
        <v>17</v>
      </c>
      <c r="C98" s="7" t="s">
        <v>158</v>
      </c>
      <c r="D98" s="6" t="s">
        <v>94</v>
      </c>
      <c r="E98" s="6" t="s">
        <v>29</v>
      </c>
      <c r="F98" s="8" t="n">
        <v>2250000</v>
      </c>
      <c r="G98" s="8" t="n">
        <v>2500000</v>
      </c>
      <c r="H98" s="9" t="n">
        <f aca="false">IF(G98=0,"",F98/G98)</f>
        <v>0.9</v>
      </c>
      <c r="I98" s="6" t="s">
        <v>39</v>
      </c>
      <c r="J98" s="8"/>
      <c r="K98" s="6"/>
      <c r="L98" s="6" t="s">
        <v>65</v>
      </c>
      <c r="M98" s="8" t="n">
        <v>427500</v>
      </c>
      <c r="N98" s="7" t="s">
        <v>106</v>
      </c>
      <c r="O98" s="6" t="s">
        <v>24</v>
      </c>
      <c r="P98" s="8"/>
    </row>
    <row r="99" customFormat="false" ht="15" hidden="false" customHeight="false" outlineLevel="0" collapsed="false">
      <c r="A99" s="6" t="s">
        <v>151</v>
      </c>
      <c r="B99" s="7" t="s">
        <v>17</v>
      </c>
      <c r="C99" s="7" t="s">
        <v>159</v>
      </c>
      <c r="D99" s="6" t="s">
        <v>94</v>
      </c>
      <c r="E99" s="6" t="s">
        <v>29</v>
      </c>
      <c r="F99" s="8" t="n">
        <v>2250000</v>
      </c>
      <c r="G99" s="8" t="n">
        <v>2500000</v>
      </c>
      <c r="H99" s="9" t="n">
        <f aca="false">IF(G99=0,"",F99/G99)</f>
        <v>0.9</v>
      </c>
      <c r="I99" s="6" t="s">
        <v>39</v>
      </c>
      <c r="J99" s="8"/>
      <c r="K99" s="6"/>
      <c r="L99" s="6" t="s">
        <v>65</v>
      </c>
      <c r="M99" s="8" t="n">
        <v>427500</v>
      </c>
      <c r="N99" s="7" t="s">
        <v>106</v>
      </c>
      <c r="O99" s="6" t="s">
        <v>24</v>
      </c>
      <c r="P99" s="8"/>
    </row>
    <row r="100" customFormat="false" ht="15" hidden="false" customHeight="false" outlineLevel="0" collapsed="false">
      <c r="A100" s="6" t="s">
        <v>151</v>
      </c>
      <c r="B100" s="7" t="s">
        <v>17</v>
      </c>
      <c r="C100" s="7" t="s">
        <v>160</v>
      </c>
      <c r="D100" s="6" t="s">
        <v>94</v>
      </c>
      <c r="E100" s="6" t="s">
        <v>29</v>
      </c>
      <c r="F100" s="8" t="n">
        <v>2250000</v>
      </c>
      <c r="G100" s="8" t="n">
        <v>2500000</v>
      </c>
      <c r="H100" s="9" t="n">
        <f aca="false">IF(G100=0,"",F100/G100)</f>
        <v>0.9</v>
      </c>
      <c r="I100" s="6" t="s">
        <v>39</v>
      </c>
      <c r="J100" s="8"/>
      <c r="K100" s="6"/>
      <c r="L100" s="6" t="s">
        <v>65</v>
      </c>
      <c r="M100" s="8" t="n">
        <v>427500</v>
      </c>
      <c r="N100" s="7" t="s">
        <v>106</v>
      </c>
      <c r="O100" s="6" t="s">
        <v>24</v>
      </c>
      <c r="P100" s="8"/>
    </row>
    <row r="101" customFormat="false" ht="15" hidden="false" customHeight="false" outlineLevel="0" collapsed="false">
      <c r="A101" s="6" t="s">
        <v>151</v>
      </c>
      <c r="B101" s="7" t="s">
        <v>17</v>
      </c>
      <c r="C101" s="7" t="s">
        <v>161</v>
      </c>
      <c r="D101" s="6" t="s">
        <v>94</v>
      </c>
      <c r="E101" s="6" t="s">
        <v>29</v>
      </c>
      <c r="F101" s="8" t="n">
        <v>2250000</v>
      </c>
      <c r="G101" s="8" t="n">
        <v>2500000</v>
      </c>
      <c r="H101" s="9" t="n">
        <f aca="false">IF(G101=0,"",F101/G101)</f>
        <v>0.9</v>
      </c>
      <c r="I101" s="6" t="s">
        <v>39</v>
      </c>
      <c r="J101" s="8"/>
      <c r="K101" s="6"/>
      <c r="L101" s="6" t="s">
        <v>65</v>
      </c>
      <c r="M101" s="8" t="n">
        <v>427500</v>
      </c>
      <c r="N101" s="7" t="s">
        <v>106</v>
      </c>
      <c r="O101" s="6" t="s">
        <v>24</v>
      </c>
      <c r="P101" s="8"/>
    </row>
    <row r="102" customFormat="false" ht="15" hidden="false" customHeight="false" outlineLevel="0" collapsed="false">
      <c r="A102" s="6" t="s">
        <v>151</v>
      </c>
      <c r="B102" s="7" t="s">
        <v>51</v>
      </c>
      <c r="C102" s="7" t="s">
        <v>162</v>
      </c>
      <c r="D102" s="6" t="s">
        <v>94</v>
      </c>
      <c r="E102" s="6" t="s">
        <v>29</v>
      </c>
      <c r="F102" s="8" t="n">
        <v>2750000</v>
      </c>
      <c r="G102" s="8" t="n">
        <v>2750000</v>
      </c>
      <c r="H102" s="9" t="n">
        <f aca="false">IF(G102=0,"",F102/G102)</f>
        <v>1</v>
      </c>
      <c r="I102" s="7" t="s">
        <v>49</v>
      </c>
      <c r="J102" s="8"/>
      <c r="K102" s="6"/>
      <c r="L102" s="6" t="s">
        <v>98</v>
      </c>
      <c r="M102" s="8" t="n">
        <v>450000</v>
      </c>
      <c r="N102" s="6" t="s">
        <v>23</v>
      </c>
      <c r="O102" s="6" t="s">
        <v>42</v>
      </c>
      <c r="P102" s="8" t="s">
        <v>33</v>
      </c>
    </row>
    <row r="103" customFormat="false" ht="15" hidden="false" customHeight="false" outlineLevel="0" collapsed="false">
      <c r="A103" s="6" t="s">
        <v>151</v>
      </c>
      <c r="B103" s="7" t="s">
        <v>51</v>
      </c>
      <c r="C103" s="7" t="s">
        <v>163</v>
      </c>
      <c r="D103" s="6" t="s">
        <v>94</v>
      </c>
      <c r="E103" s="6" t="s">
        <v>29</v>
      </c>
      <c r="F103" s="8" t="n">
        <v>2750000</v>
      </c>
      <c r="G103" s="8" t="n">
        <v>2750000</v>
      </c>
      <c r="H103" s="9" t="n">
        <f aca="false">IF(G103=0,"",F103/G103)</f>
        <v>1</v>
      </c>
      <c r="I103" s="7" t="s">
        <v>49</v>
      </c>
      <c r="J103" s="8"/>
      <c r="K103" s="6"/>
      <c r="L103" s="6" t="s">
        <v>98</v>
      </c>
      <c r="M103" s="8" t="n">
        <v>450000</v>
      </c>
      <c r="N103" s="6" t="s">
        <v>23</v>
      </c>
      <c r="O103" s="6" t="s">
        <v>42</v>
      </c>
      <c r="P103" s="8" t="s">
        <v>33</v>
      </c>
    </row>
    <row r="104" customFormat="false" ht="15" hidden="false" customHeight="false" outlineLevel="0" collapsed="false">
      <c r="A104" s="6" t="s">
        <v>151</v>
      </c>
      <c r="B104" s="7" t="s">
        <v>51</v>
      </c>
      <c r="C104" s="7" t="s">
        <v>164</v>
      </c>
      <c r="D104" s="6" t="s">
        <v>94</v>
      </c>
      <c r="E104" s="6" t="s">
        <v>38</v>
      </c>
      <c r="F104" s="8" t="n">
        <v>2250000</v>
      </c>
      <c r="G104" s="8" t="n">
        <v>2500000</v>
      </c>
      <c r="H104" s="9" t="n">
        <f aca="false">IF(G104=0,"",F104/G104)</f>
        <v>0.9</v>
      </c>
      <c r="I104" s="6" t="s">
        <v>39</v>
      </c>
      <c r="J104" s="8"/>
      <c r="K104" s="6"/>
      <c r="L104" s="6" t="s">
        <v>98</v>
      </c>
      <c r="M104" s="8" t="n">
        <v>450000</v>
      </c>
      <c r="N104" s="6" t="s">
        <v>23</v>
      </c>
      <c r="O104" s="6" t="s">
        <v>42</v>
      </c>
      <c r="P104" s="8" t="n">
        <v>3000000</v>
      </c>
    </row>
    <row r="105" customFormat="false" ht="15" hidden="false" customHeight="false" outlineLevel="0" collapsed="false">
      <c r="A105" s="6" t="s">
        <v>151</v>
      </c>
      <c r="B105" s="7" t="s">
        <v>51</v>
      </c>
      <c r="C105" s="7" t="s">
        <v>165</v>
      </c>
      <c r="D105" s="6" t="s">
        <v>94</v>
      </c>
      <c r="E105" s="6" t="s">
        <v>38</v>
      </c>
      <c r="F105" s="8" t="n">
        <v>2250000</v>
      </c>
      <c r="G105" s="8" t="n">
        <v>2500000</v>
      </c>
      <c r="H105" s="9" t="n">
        <f aca="false">IF(G105=0,"",F105/G105)</f>
        <v>0.9</v>
      </c>
      <c r="I105" s="6" t="s">
        <v>39</v>
      </c>
      <c r="J105" s="8"/>
      <c r="K105" s="6"/>
      <c r="L105" s="6" t="s">
        <v>98</v>
      </c>
      <c r="M105" s="8" t="n">
        <v>450000</v>
      </c>
      <c r="N105" s="6" t="s">
        <v>23</v>
      </c>
      <c r="O105" s="6" t="s">
        <v>42</v>
      </c>
      <c r="P105" s="8" t="n">
        <v>2500000</v>
      </c>
    </row>
    <row r="106" customFormat="false" ht="15" hidden="false" customHeight="false" outlineLevel="0" collapsed="false">
      <c r="A106" s="6" t="s">
        <v>151</v>
      </c>
      <c r="B106" s="7" t="s">
        <v>51</v>
      </c>
      <c r="C106" s="7" t="s">
        <v>166</v>
      </c>
      <c r="D106" s="6" t="s">
        <v>94</v>
      </c>
      <c r="E106" s="6" t="s">
        <v>98</v>
      </c>
      <c r="F106" s="8" t="n">
        <v>1100000</v>
      </c>
      <c r="G106" s="8" t="n">
        <v>2750000</v>
      </c>
      <c r="H106" s="9" t="n">
        <f aca="false">IF(G106=0,"",F106/G106)</f>
        <v>0.4</v>
      </c>
      <c r="I106" s="7" t="s">
        <v>82</v>
      </c>
      <c r="J106" s="8"/>
      <c r="K106" s="6"/>
      <c r="L106" s="6" t="s">
        <v>98</v>
      </c>
      <c r="M106" s="8" t="n">
        <v>450000</v>
      </c>
      <c r="N106" s="6" t="s">
        <v>23</v>
      </c>
      <c r="O106" s="6" t="s">
        <v>42</v>
      </c>
      <c r="P106" s="8"/>
    </row>
    <row r="107" customFormat="false" ht="15" hidden="false" customHeight="false" outlineLevel="0" collapsed="false">
      <c r="A107" s="6" t="s">
        <v>151</v>
      </c>
      <c r="B107" s="7" t="s">
        <v>51</v>
      </c>
      <c r="C107" s="7" t="s">
        <v>167</v>
      </c>
      <c r="D107" s="6" t="s">
        <v>94</v>
      </c>
      <c r="E107" s="6" t="s">
        <v>29</v>
      </c>
      <c r="F107" s="8" t="n">
        <v>2000000</v>
      </c>
      <c r="G107" s="8" t="n">
        <v>2500000</v>
      </c>
      <c r="H107" s="9" t="n">
        <f aca="false">IF(G107=0,"",F107/G107)</f>
        <v>0.8</v>
      </c>
      <c r="I107" s="6" t="s">
        <v>95</v>
      </c>
      <c r="J107" s="8"/>
      <c r="K107" s="6"/>
      <c r="L107" s="6" t="s">
        <v>65</v>
      </c>
      <c r="M107" s="8" t="n">
        <v>360000</v>
      </c>
      <c r="N107" s="6" t="s">
        <v>96</v>
      </c>
      <c r="O107" s="6" t="s">
        <v>24</v>
      </c>
      <c r="P107" s="8" t="n">
        <v>2500000</v>
      </c>
    </row>
    <row r="109" customFormat="false" ht="15" hidden="false" customHeight="false" outlineLevel="0" collapsed="false">
      <c r="A109" s="10" t="s">
        <v>168</v>
      </c>
    </row>
    <row r="110" customFormat="false" ht="15" hidden="false" customHeight="false" outlineLevel="0" collapsed="false">
      <c r="A110" s="11" t="s">
        <v>169</v>
      </c>
    </row>
    <row r="111" customFormat="false" ht="15" hidden="false" customHeight="false" outlineLevel="0" collapsed="false">
      <c r="A111" s="1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2026-09-10T01:12:12Z</dcterms:created>
  <dc:creator>openpyxl</dc:creator>
  <dc:description/>
  <dc:language>en-US</dc:language>
  <cp:lastModifiedBy/>
  <dcterms:modified xsi:type="dcterms:W3CDTF">2026-09-10T01:12:20Z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