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생별 대조" sheetId="1" state="visible" r:id="rId3"/>
    <sheet name="사람이 봐야 하는 줄" sheetId="2" state="visible" r:id="rId4"/>
    <sheet name="특이사항 대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<sst xmlns="http://schemas.openxmlformats.org/spreadsheetml/2006/main" count="320" uniqueCount="236">
  <si>
    <t xml:space="preserve">학생</t>
  </si>
  <si>
    <t xml:space="preserve">앱 총청구액</t>
  </si>
  <si>
    <t xml:space="preserve">올톡 결제완료</t>
  </si>
  <si>
    <r>
      <rPr>
        <b val="true"/>
        <sz val="11"/>
        <color rgb="FFFFFFFF"/>
        <rFont val="Noto Sans CJK SC"/>
        <family val="2"/>
      </rPr>
      <t xml:space="preserve">차액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미납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</si>
  <si>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판정</t>
  </si>
  <si>
    <t xml:space="preserve">앱 교재비</t>
  </si>
  <si>
    <t xml:space="preserve">올톡 교재비</t>
  </si>
  <si>
    <t xml:space="preserve">교재 차액</t>
  </si>
  <si>
    <r>
      <rPr>
        <b val="true"/>
        <sz val="11"/>
        <color rgb="FFFFFFFF"/>
        <rFont val="Noto Sans CJK SC"/>
        <family val="2"/>
      </rPr>
      <t xml:space="preserve">올톡 발송완료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미결제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</si>
  <si>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근거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결제 내역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</si>
  <si>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강서후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</si>
  <si>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</si>
  <si>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강예성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</si>
  <si>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191,200 2026-08-31</t>
    </r>
  </si>
  <si>
    <t xml:space="preserve">강이제</t>
  </si>
  <si>
    <t xml:space="preserve">강하늘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</si>
  <si>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55,000 2026-08-27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45,000 2026-08-26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45,000 2026-08-21</t>
    </r>
  </si>
  <si>
    <t xml:space="preserve">강하라</t>
  </si>
  <si>
    <t xml:space="preserve">고서윤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</si>
  <si>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2026-08-26</t>
    </r>
  </si>
  <si>
    <t xml:space="preserve">고이건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</si>
  <si>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</si>
  <si>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고진우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</si>
  <si>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2026-09-02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</si>
  <si>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곽세린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</si>
  <si>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173,000 2026-09-01</t>
    </r>
  </si>
  <si>
    <t xml:space="preserve">곽호율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</si>
  <si>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</si>
  <si>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권수호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</si>
  <si>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910,000 2026-09-11 / </t>
    </r>
    <r>
      <rPr>
        <sz val="9"/>
        <color rgb="FF475569"/>
        <rFont val="Noto Sans CJK SC"/>
        <family val="2"/>
      </rPr>
      <t xml:space="preserve">악기</t>
    </r>
    <r>
      <rPr>
        <sz val="9"/>
        <color rgb="FF475569"/>
        <rFont val="Arial"/>
        <family val="0"/>
        <charset val="1"/>
      </rPr>
      <t xml:space="preserve">(</t>
    </r>
    <r>
      <rPr>
        <sz val="9"/>
        <color rgb="FF475569"/>
        <rFont val="Noto Sans CJK SC"/>
        <family val="2"/>
      </rPr>
      <t xml:space="preserve">바이올린</t>
    </r>
    <r>
      <rPr>
        <sz val="9"/>
        <color rgb="FF475569"/>
        <rFont val="Arial"/>
        <family val="0"/>
        <charset val="1"/>
      </rPr>
      <t xml:space="preserve">) 220,000 2026-09-02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2026-08-31</t>
    </r>
  </si>
  <si>
    <t xml:space="preserve">권태이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</si>
  <si>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</si>
  <si>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김나율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</si>
  <si>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</t>
    </r>
  </si>
  <si>
    <t xml:space="preserve">김단우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</si>
  <si>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2026-08-21</t>
    </r>
  </si>
  <si>
    <t xml:space="preserve">김도은</t>
  </si>
  <si>
    <t xml:space="preserve">김동하</t>
  </si>
  <si>
    <t xml:space="preserve">김리안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</si>
  <si>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 ※</t>
    </r>
    <r>
      <rPr>
        <sz val="9"/>
        <color rgb="FF475569"/>
        <rFont val="Noto Sans CJK SC"/>
        <family val="2"/>
      </rPr>
      <t xml:space="preserve">형제합산</t>
    </r>
  </si>
  <si>
    <t xml:space="preserve">김사랑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</si>
  <si>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</si>
  <si>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김서이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</si>
  <si>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2026-08-28</t>
    </r>
  </si>
  <si>
    <t xml:space="preserve">김서준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</si>
  <si>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2026-08-25</t>
    </r>
  </si>
  <si>
    <t xml:space="preserve">김서진</t>
  </si>
  <si>
    <t xml:space="preserve">김요한</t>
  </si>
  <si>
    <t xml:space="preserve">김재이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</si>
  <si>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10,000 2026-09-11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2026-08-31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2026-08-31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201,000 2026-08-31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</si>
  <si>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김준영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</si>
  <si>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2026-08-21</t>
    </r>
  </si>
  <si>
    <t xml:space="preserve">김준원</t>
  </si>
  <si>
    <t xml:space="preserve">김지민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</si>
  <si>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</si>
  <si>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김태오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</si>
  <si>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</si>
  <si>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김태윤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</si>
  <si>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325,000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2026-08-26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</si>
  <si>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김현수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</si>
  <si>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 ※</t>
    </r>
    <r>
      <rPr>
        <sz val="9"/>
        <color rgb="FF475569"/>
        <rFont val="Noto Sans CJK SC"/>
        <family val="2"/>
      </rPr>
      <t xml:space="preserve">형제합산 </t>
    </r>
    <r>
      <rPr>
        <sz val="9"/>
        <color rgb="FF475569"/>
        <rFont val="Arial"/>
        <family val="0"/>
        <charset val="1"/>
      </rPr>
      <t xml:space="preserve">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</si>
  <si>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남가인</t>
  </si>
  <si>
    <t xml:space="preserve">노시엘</t>
  </si>
  <si>
    <t xml:space="preserve">노유겸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</si>
  <si>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2026-09-04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</si>
  <si>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도윤서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</si>
  <si>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200,700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2026-08-21</t>
    </r>
  </si>
  <si>
    <t xml:space="preserve">마리아 파즈 마누키안</t>
  </si>
  <si>
    <t xml:space="preserve">마야</t>
  </si>
  <si>
    <t xml:space="preserve">문준연</t>
  </si>
  <si>
    <t xml:space="preserve">민노엘</t>
  </si>
  <si>
    <t xml:space="preserve">민송희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</si>
  <si>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</si>
  <si>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박세인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</si>
  <si>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273,000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</si>
  <si>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박세주</t>
  </si>
  <si>
    <t xml:space="preserve">박하솜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</si>
  <si>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173,000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</si>
  <si>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백서아</t>
  </si>
  <si>
    <t xml:space="preserve">서민준</t>
  </si>
  <si>
    <t xml:space="preserve">송우진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</si>
  <si>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200,700 2026-09-03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97,500 2026-08-27 ※</t>
    </r>
    <r>
      <rPr>
        <sz val="9"/>
        <color rgb="FF475569"/>
        <rFont val="Noto Sans CJK SC"/>
        <family val="2"/>
      </rPr>
      <t xml:space="preserve">형제합산 </t>
    </r>
    <r>
      <rPr>
        <sz val="9"/>
        <color rgb="FF475569"/>
        <rFont val="Arial"/>
        <family val="0"/>
        <charset val="1"/>
      </rPr>
      <t xml:space="preserve">/ </t>
    </r>
    <r>
      <rPr>
        <sz val="9"/>
        <color rgb="FF475569"/>
        <rFont val="Noto Sans CJK SC"/>
        <family val="2"/>
      </rPr>
      <t xml:space="preserve">악기비 </t>
    </r>
    <r>
      <rPr>
        <sz val="9"/>
        <color rgb="FF475569"/>
        <rFont val="Arial"/>
        <family val="0"/>
        <charset val="1"/>
      </rPr>
      <t xml:space="preserve">682,000 2026-08-24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</si>
  <si>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송윤진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</si>
  <si>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2026-09-03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97,500 2026-08-27 ※</t>
    </r>
    <r>
      <rPr>
        <sz val="9"/>
        <color rgb="FF475569"/>
        <rFont val="Noto Sans CJK SC"/>
        <family val="2"/>
      </rPr>
      <t xml:space="preserve">형제합산 </t>
    </r>
    <r>
      <rPr>
        <sz val="9"/>
        <color rgb="FF475569"/>
        <rFont val="Arial"/>
        <family val="0"/>
        <charset val="1"/>
      </rPr>
      <t xml:space="preserve">/ </t>
    </r>
    <r>
      <rPr>
        <sz val="9"/>
        <color rgb="FF475569"/>
        <rFont val="Noto Sans CJK SC"/>
        <family val="2"/>
      </rPr>
      <t xml:space="preserve">악기비 </t>
    </r>
    <r>
      <rPr>
        <sz val="9"/>
        <color rgb="FF475569"/>
        <rFont val="Arial"/>
        <family val="0"/>
        <charset val="1"/>
      </rPr>
      <t xml:space="preserve">682,000 2026-08-24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</si>
  <si>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신민하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</si>
  <si>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450,000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</si>
  <si>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심규민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</si>
  <si>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130,000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150,000 2026-08-28</t>
    </r>
  </si>
  <si>
    <t xml:space="preserve">심재이</t>
  </si>
  <si>
    <t xml:space="preserve">엄하율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</si>
  <si>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70,000 2026-08-27</t>
    </r>
  </si>
  <si>
    <t xml:space="preserve">연하윤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</si>
  <si>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54,000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2026-09-02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40,000 2026-08-27</t>
    </r>
  </si>
  <si>
    <t xml:space="preserve">원세빈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</si>
  <si>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2026-08-24</t>
    </r>
  </si>
  <si>
    <t xml:space="preserve">유재이</t>
  </si>
  <si>
    <t xml:space="preserve">유한솔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</si>
  <si>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250,000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160,000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</si>
  <si>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이라엘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</si>
  <si>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45,000 2026-08-28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2026-08-21</t>
    </r>
  </si>
  <si>
    <t xml:space="preserve">이서아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</si>
  <si>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178,000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185,000 2026-08-27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</si>
  <si>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이서준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</si>
  <si>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45,000 2026-08-26</t>
    </r>
  </si>
  <si>
    <t xml:space="preserve">이서현</t>
  </si>
  <si>
    <t xml:space="preserve">이신원</t>
  </si>
  <si>
    <t xml:space="preserve">이아인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</si>
  <si>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75,000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45,000 2026-08-27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30,000 2026-08-21</t>
    </r>
  </si>
  <si>
    <t xml:space="preserve">이연우</t>
  </si>
  <si>
    <t xml:space="preserve">이예나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</si>
  <si>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</si>
  <si>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이예온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</si>
  <si>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1,500,000 2026-09-11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</si>
  <si>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이온유</t>
  </si>
  <si>
    <t xml:space="preserve">이은재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</si>
  <si>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75,000 2026-08-31</t>
    </r>
  </si>
  <si>
    <t xml:space="preserve">이주원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</si>
  <si>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250,000 2026-09-11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183,000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40,000 2026-08-26</t>
    </r>
  </si>
  <si>
    <t xml:space="preserve">이준서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</si>
  <si>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75,000 2026-09-11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2026-09-04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</si>
  <si>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이준원</t>
  </si>
  <si>
    <t xml:space="preserve">이한범</t>
  </si>
  <si>
    <t xml:space="preserve">이현우</t>
  </si>
  <si>
    <t xml:space="preserve">임다현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</si>
  <si>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160,000 2026-09-01</t>
    </r>
  </si>
  <si>
    <t xml:space="preserve">임선우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</si>
  <si>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170,000 2026-09-01</t>
    </r>
  </si>
  <si>
    <t xml:space="preserve">임예나</t>
  </si>
  <si>
    <t xml:space="preserve">임주한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</si>
  <si>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140,000 2026-08-27</t>
    </r>
  </si>
  <si>
    <t xml:space="preserve">임지효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</si>
  <si>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160,000 2026-09-03</t>
    </r>
  </si>
  <si>
    <t xml:space="preserve">임하임</t>
  </si>
  <si>
    <t xml:space="preserve">장예나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</si>
  <si>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2026-09-01</t>
    </r>
  </si>
  <si>
    <t xml:space="preserve">전준백</t>
  </si>
  <si>
    <t xml:space="preserve">전지완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</si>
  <si>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</si>
  <si>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정겨울</t>
  </si>
  <si>
    <t xml:space="preserve">정레인</t>
  </si>
  <si>
    <t xml:space="preserve">정서우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</si>
  <si>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170,000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75,000 2026-08-27</t>
    </r>
  </si>
  <si>
    <t xml:space="preserve">정세진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</si>
  <si>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201,700 2026-09-01</t>
    </r>
  </si>
  <si>
    <t xml:space="preserve">정이엘</t>
  </si>
  <si>
    <t xml:space="preserve">정하임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</si>
  <si>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2026-08-20</t>
    </r>
  </si>
  <si>
    <t xml:space="preserve">조장훈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</si>
  <si>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147,000 2026-09-01</t>
    </r>
  </si>
  <si>
    <t xml:space="preserve">조하윤</t>
  </si>
  <si>
    <t xml:space="preserve">주이안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</si>
  <si>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75,000 2026-08-31 / 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201,000 2026-08-31</t>
    </r>
  </si>
  <si>
    <t xml:space="preserve">지수</t>
  </si>
  <si>
    <t xml:space="preserve">차봄</t>
  </si>
  <si>
    <t xml:space="preserve">최서아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</si>
  <si>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183,700 2026-09-01</t>
    </r>
  </si>
  <si>
    <t xml:space="preserve">최서연</t>
  </si>
  <si>
    <t xml:space="preserve">한우영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</si>
  <si>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191,000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2026-09-01</t>
    </r>
  </si>
  <si>
    <t xml:space="preserve">홍동은</t>
  </si>
  <si>
    <t xml:space="preserve">홍서형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</si>
  <si>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167,700 2026-09-01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2026-08-27</t>
    </r>
  </si>
  <si>
    <t xml:space="preserve">홍선우</t>
  </si>
  <si>
    <t xml:space="preserve">황라원</t>
  </si>
  <si>
    <t xml:space="preserve">황라윤</t>
  </si>
  <si>
    <r>
      <rPr>
        <sz val="9"/>
        <color rgb="FF475569"/>
        <rFont val="Noto Sans CJK SC"/>
        <family val="2"/>
      </rPr>
      <t xml:space="preserve">미납인보이스 정산 </t>
    </r>
    <r>
      <rPr>
        <sz val="9"/>
        <color rgb="FF475569"/>
        <rFont val="Arial"/>
        <family val="0"/>
        <charset val="1"/>
      </rPr>
      <t xml:space="preserve">10,000 2026-09-11</t>
    </r>
  </si>
  <si>
    <t xml:space="preserve">황시원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</si>
  <si>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2026-08-31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200,000 2026-08-27 / 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100,000 2026-08-31</t>
    </r>
  </si>
  <si>
    <t xml:space="preserve">황이안</t>
  </si>
  <si>
    <r>
      <rPr>
        <sz val="9"/>
        <color rgb="FF475569"/>
        <rFont val="Arial"/>
        <family val="0"/>
        <charset val="1"/>
      </rPr>
      <t xml:space="preserve">GIA</t>
    </r>
    <r>
      <rPr>
        <sz val="9"/>
        <color rgb="FF475569"/>
        <rFont val="Noto Sans CJK SC"/>
        <family val="2"/>
      </rPr>
      <t xml:space="preserve">교복 </t>
    </r>
    <r>
      <rPr>
        <sz val="9"/>
        <color rgb="FF475569"/>
        <rFont val="Arial"/>
        <family val="0"/>
        <charset val="1"/>
      </rPr>
      <t xml:space="preserve">75,000 2026-08-28</t>
    </r>
  </si>
  <si>
    <t xml:space="preserve">황이준</t>
  </si>
  <si>
    <r>
      <rPr>
        <sz val="9"/>
        <color rgb="FF475569"/>
        <rFont val="Arial"/>
        <family val="0"/>
        <charset val="1"/>
      </rPr>
      <t xml:space="preserve">1</t>
    </r>
    <r>
      <rPr>
        <sz val="9"/>
        <color rgb="FF475569"/>
        <rFont val="Noto Sans CJK SC"/>
        <family val="2"/>
      </rPr>
      <t xml:space="preserve">학기 교재비 </t>
    </r>
    <r>
      <rPr>
        <sz val="9"/>
        <color rgb="FF475569"/>
        <rFont val="Arial"/>
        <family val="0"/>
        <charset val="1"/>
      </rPr>
      <t xml:space="preserve">211,700 2026-08-31</t>
    </r>
  </si>
  <si>
    <t xml:space="preserve">황준호</t>
  </si>
  <si>
    <t xml:space="preserve">합계</t>
  </si>
  <si>
    <r>
      <rPr>
        <b val="true"/>
        <sz val="11"/>
        <rFont val="Noto Sans CJK SC"/>
        <family val="2"/>
      </rPr>
      <t xml:space="preserve">올톡페이 고객명에서 학생을 못 가른 줄 — 교직원 구매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영문 이름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오타가 섞여 있습니다</t>
    </r>
  </si>
  <si>
    <t xml:space="preserve">고객명</t>
  </si>
  <si>
    <t xml:space="preserve">청구사유</t>
  </si>
  <si>
    <t xml:space="preserve">금액</t>
  </si>
  <si>
    <t xml:space="preserve">상태</t>
  </si>
  <si>
    <t xml:space="preserve">왜 못 가렸나</t>
  </si>
  <si>
    <t xml:space="preserve">Maria</t>
  </si>
  <si>
    <t xml:space="preserve">미납인보이스 정산</t>
  </si>
  <si>
    <t xml:space="preserve">발송완료</t>
  </si>
  <si>
    <r>
      <rPr>
        <sz val="9"/>
        <color rgb="FF475569"/>
        <rFont val="Noto Sans CJK SC"/>
        <family val="2"/>
      </rPr>
      <t xml:space="preserve">명부에 없는 이름</t>
    </r>
    <r>
      <rPr>
        <sz val="9"/>
        <color rgb="FF475569"/>
        <rFont val="Arial"/>
        <family val="0"/>
        <charset val="1"/>
      </rPr>
      <t xml:space="preserve">(</t>
    </r>
    <r>
      <rPr>
        <sz val="9"/>
        <color rgb="FF475569"/>
        <rFont val="Noto Sans CJK SC"/>
        <family val="2"/>
      </rPr>
      <t xml:space="preserve">영문 표기</t>
    </r>
    <r>
      <rPr>
        <sz val="9"/>
        <color rgb="FF475569"/>
        <rFont val="Arial"/>
        <family val="0"/>
        <charset val="1"/>
      </rPr>
      <t xml:space="preserve">·</t>
    </r>
    <r>
      <rPr>
        <sz val="9"/>
        <color rgb="FF475569"/>
        <rFont val="Noto Sans CJK SC"/>
        <family val="2"/>
      </rPr>
      <t xml:space="preserve">오타 가능</t>
    </r>
    <r>
      <rPr>
        <sz val="9"/>
        <color rgb="FF475569"/>
        <rFont val="Arial"/>
        <family val="0"/>
        <charset val="1"/>
      </rPr>
      <t xml:space="preserve">)</t>
    </r>
  </si>
  <si>
    <t xml:space="preserve">권해주</t>
  </si>
  <si>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</t>
    </r>
  </si>
  <si>
    <t xml:space="preserve">결제완료</t>
  </si>
  <si>
    <t xml:space="preserve">명부에 없는 이름 — 교직원 구매로 보입니다</t>
  </si>
  <si>
    <t xml:space="preserve">류연진쌤</t>
  </si>
  <si>
    <t xml:space="preserve">애니원감님</t>
  </si>
  <si>
    <t xml:space="preserve">박보은</t>
  </si>
  <si>
    <t xml:space="preserve">결제중단</t>
  </si>
  <si>
    <t xml:space="preserve">최서현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</si>
  <si>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학기 교재비</t>
    </r>
  </si>
  <si>
    <t xml:space="preserve">Maya</t>
  </si>
  <si>
    <t xml:space="preserve">이재훈</t>
  </si>
  <si>
    <t xml:space="preserve">강경원</t>
  </si>
  <si>
    <t xml:space="preserve">Jason</t>
  </si>
  <si>
    <t xml:space="preserve">민</t>
  </si>
  <si>
    <t xml:space="preserve">Helena</t>
  </si>
  <si>
    <t xml:space="preserve">Demian</t>
  </si>
  <si>
    <t xml:space="preserve">MsLee</t>
  </si>
  <si>
    <t xml:space="preserve">이정훈</t>
  </si>
  <si>
    <t xml:space="preserve">정례인</t>
  </si>
  <si>
    <t xml:space="preserve">전준벡</t>
  </si>
  <si>
    <r>
      <rPr>
        <sz val="10"/>
        <rFont val="Noto Sans CJK SC"/>
        <family val="2"/>
      </rPr>
      <t xml:space="preserve">악기비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바이올린</t>
    </r>
    <r>
      <rPr>
        <sz val="10"/>
        <rFont val="Arial"/>
        <family val="0"/>
        <charset val="1"/>
      </rPr>
      <t xml:space="preserve">)</t>
    </r>
  </si>
  <si>
    <t xml:space="preserve">AnnaKim</t>
  </si>
  <si>
    <t xml:space="preserve">임세나</t>
  </si>
  <si>
    <r>
      <rPr>
        <b val="true"/>
        <sz val="11"/>
        <rFont val="Noto Sans CJK SC"/>
        <family val="2"/>
      </rPr>
      <t xml:space="preserve">담당자가 알려준 특이사항 </t>
    </r>
    <r>
      <rPr>
        <b val="true"/>
        <sz val="11"/>
        <rFont val="Arial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건 — 자료에서 확인한 것</t>
    </r>
  </si>
  <si>
    <t xml:space="preserve">특이사항</t>
  </si>
  <si>
    <t xml:space="preserve">자료에서 확인한 것</t>
  </si>
  <si>
    <t xml:space="preserve">자동 분류가 되는가</t>
  </si>
  <si>
    <r>
      <rPr>
        <b val="true"/>
        <sz val="10"/>
        <rFont val="Noto Sans CJK SC"/>
        <family val="2"/>
      </rPr>
      <t xml:space="preserve">강하라 병원비 </t>
    </r>
    <r>
      <rPr>
        <b val="true"/>
        <sz val="10"/>
        <rFont val="Arial"/>
        <family val="0"/>
        <charset val="1"/>
      </rPr>
      <t xml:space="preserve">12,900</t>
    </r>
  </si>
  <si>
    <r>
      <rPr>
        <sz val="10"/>
        <rFont val="Noto Sans CJK SC"/>
        <family val="2"/>
      </rPr>
      <t xml:space="preserve">올톡에 「강하라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치과진료비</t>
    </r>
    <r>
      <rPr>
        <sz val="10"/>
        <rFont val="Arial"/>
        <family val="0"/>
        <charset val="1"/>
      </rPr>
      <t xml:space="preserve">12,900</t>
    </r>
    <r>
      <rPr>
        <sz val="10"/>
        <rFont val="Noto Sans CJK SC"/>
        <family val="2"/>
      </rPr>
      <t xml:space="preserve">원포함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학기 교재비 ₩</t>
    </r>
    <r>
      <rPr>
        <sz val="10"/>
        <rFont val="Arial"/>
        <family val="0"/>
        <charset val="1"/>
      </rPr>
      <t xml:space="preserve">182,900</t>
    </r>
    <r>
      <rPr>
        <sz val="10"/>
        <rFont val="Noto Sans CJK SC"/>
        <family val="2"/>
      </rPr>
      <t xml:space="preserve">」 발송완료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미결제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수기에는 「치과진료비 ₩</t>
    </r>
    <r>
      <rPr>
        <sz val="10"/>
        <rFont val="Arial"/>
        <family val="0"/>
        <charset val="1"/>
      </rPr>
      <t xml:space="preserve">12,900</t>
    </r>
    <r>
      <rPr>
        <sz val="10"/>
        <rFont val="Noto Sans CJK SC"/>
        <family val="2"/>
      </rPr>
      <t xml:space="preserve">」 별도 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</si>
  <si>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앱에 치과진료비 항목이 없으면 새로 만들어야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합산 청구라 금액만으로는 못 가릅니다</t>
    </r>
    <r>
      <rPr>
        <sz val="10"/>
        <rFont val="Arial"/>
        <family val="0"/>
        <charset val="1"/>
      </rPr>
      <t xml:space="preserve">.</t>
    </r>
  </si>
  <si>
    <t xml:space="preserve">임다현 교재 추가</t>
  </si>
  <si>
    <r>
      <rPr>
        <sz val="10"/>
        <rFont val="Noto Sans CJK SC"/>
        <family val="2"/>
      </rPr>
      <t xml:space="preserve">올톡 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학기 교재비 ₩</t>
    </r>
    <r>
      <rPr>
        <sz val="10"/>
        <rFont val="Arial"/>
        <family val="0"/>
        <charset val="1"/>
      </rPr>
      <t xml:space="preserve">160,000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9/1 </t>
    </r>
    <r>
      <rPr>
        <sz val="10"/>
        <rFont val="Noto Sans CJK SC"/>
        <family val="2"/>
      </rPr>
      <t xml:space="preserve">결제완료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앱 등록 교재비 ₩</t>
    </r>
    <r>
      <rPr>
        <sz val="10"/>
        <rFont val="Arial"/>
        <family val="0"/>
        <charset val="1"/>
      </rPr>
      <t xml:space="preserve">176,000.</t>
    </r>
  </si>
  <si>
    <r>
      <rPr>
        <sz val="10"/>
        <rFont val="Noto Sans CJK SC"/>
        <family val="2"/>
      </rPr>
      <t xml:space="preserve">차액 ₩</t>
    </r>
    <r>
      <rPr>
        <sz val="10"/>
        <rFont val="Arial"/>
        <family val="0"/>
        <charset val="1"/>
      </rPr>
      <t xml:space="preserve">16,000 </t>
    </r>
    <r>
      <rPr>
        <sz val="10"/>
        <rFont val="Noto Sans CJK SC"/>
        <family val="2"/>
      </rPr>
      <t xml:space="preserve">이 추가 교재입니다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자동으로 「일부 납부」로 잡힙니다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</si>
  <si>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조장훈 </t>
    </r>
    <r>
      <rPr>
        <b val="true"/>
        <sz val="10"/>
        <rFont val="Arial"/>
        <family val="0"/>
        <charset val="1"/>
      </rPr>
      <t xml:space="preserve">13,000 </t>
    </r>
    <r>
      <rPr>
        <b val="true"/>
        <sz val="10"/>
        <rFont val="Noto Sans CJK SC"/>
        <family val="2"/>
      </rPr>
      <t xml:space="preserve">이월</t>
    </r>
  </si>
  <si>
    <r>
      <rPr>
        <sz val="10"/>
        <rFont val="Noto Sans CJK SC"/>
        <family val="2"/>
      </rPr>
      <t xml:space="preserve">올톡 「조장훈</t>
    </r>
    <r>
      <rPr>
        <sz val="10"/>
        <rFont val="Arial"/>
        <family val="0"/>
        <charset val="1"/>
      </rPr>
      <t xml:space="preserve">(13,000</t>
    </r>
    <r>
      <rPr>
        <sz val="10"/>
        <rFont val="Noto Sans CJK SC"/>
        <family val="2"/>
      </rPr>
      <t xml:space="preserve">잔돈차감</t>
    </r>
    <r>
      <rPr>
        <sz val="10"/>
        <rFont val="Arial"/>
        <family val="0"/>
        <charset val="1"/>
      </rPr>
      <t xml:space="preserve">) ₩147,000</t>
    </r>
    <r>
      <rPr>
        <sz val="10"/>
        <rFont val="Noto Sans CJK SC"/>
        <family val="2"/>
      </rPr>
      <t xml:space="preserve">」 결제완료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「조장훈 ₩</t>
    </r>
    <r>
      <rPr>
        <sz val="10"/>
        <rFont val="Arial"/>
        <family val="0"/>
        <charset val="1"/>
      </rPr>
      <t xml:space="preserve">160,000</t>
    </r>
    <r>
      <rPr>
        <sz val="10"/>
        <rFont val="Noto Sans CJK SC"/>
        <family val="2"/>
      </rPr>
      <t xml:space="preserve">」 결제중단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</si>
  <si>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고객명 괄호를 떼면 이름이 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결제중단 줄은 세지 않습니다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</si>
  <si>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김준영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차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만원 방문결제</t>
    </r>
  </si>
  <si>
    <r>
      <rPr>
        <sz val="10"/>
        <rFont val="Noto Sans CJK SC"/>
        <family val="2"/>
      </rPr>
      <t xml:space="preserve">올톡에 결제완료는 ₩</t>
    </r>
    <r>
      <rPr>
        <sz val="10"/>
        <rFont val="Arial"/>
        <family val="0"/>
        <charset val="1"/>
      </rPr>
      <t xml:space="preserve">100,000 </t>
    </r>
    <r>
      <rPr>
        <sz val="10"/>
        <rFont val="Noto Sans CJK SC"/>
        <family val="2"/>
      </rPr>
      <t xml:space="preserve">한 건뿐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나머지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교재 </t>
    </r>
    <r>
      <rPr>
        <sz val="10"/>
        <rFont val="Arial"/>
        <family val="0"/>
        <charset val="1"/>
      </rPr>
      <t xml:space="preserve">291,000·</t>
    </r>
    <r>
      <rPr>
        <sz val="10"/>
        <rFont val="Noto Sans CJK SC"/>
        <family val="2"/>
      </rPr>
      <t xml:space="preserve">교복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100,000·</t>
    </r>
    <r>
      <rPr>
        <sz val="10"/>
        <rFont val="Noto Sans CJK SC"/>
        <family val="2"/>
      </rPr>
      <t xml:space="preserve">클라리넷 </t>
    </r>
    <r>
      <rPr>
        <sz val="10"/>
        <rFont val="Arial"/>
        <family val="0"/>
        <charset val="1"/>
      </rPr>
      <t xml:space="preserve">770,000)</t>
    </r>
    <r>
      <rPr>
        <sz val="10"/>
        <rFont val="Noto Sans CJK SC"/>
        <family val="2"/>
      </rPr>
      <t xml:space="preserve">는 방문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카드 — 올톡에 안 남습니다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</si>
  <si>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방문결제는 올톡 파일에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수기 엑셀에서만 읽을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</si>
  <si>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김나율 </t>
    </r>
    <r>
      <rPr>
        <b val="true"/>
        <sz val="10"/>
        <rFont val="Arial"/>
        <family val="0"/>
        <charset val="1"/>
      </rPr>
      <t xml:space="preserve">/ anna </t>
    </r>
    <r>
      <rPr>
        <b val="true"/>
        <sz val="10"/>
        <rFont val="Noto Sans CJK SC"/>
        <family val="2"/>
      </rPr>
      <t xml:space="preserve">두 표기</t>
    </r>
  </si>
  <si>
    <r>
      <rPr>
        <sz val="10"/>
        <rFont val="Noto Sans CJK SC"/>
        <family val="2"/>
      </rPr>
      <t xml:space="preserve">올톡 고객명은 「김나율」로 통일돼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수기 엑셀은 「김나율 </t>
    </r>
    <r>
      <rPr>
        <sz val="10"/>
        <rFont val="Arial"/>
        <family val="0"/>
        <charset val="1"/>
      </rPr>
      <t xml:space="preserve">Anna Kim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</si>
  <si>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한글 이름이 같아 자동으로 붙습니다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</si>
  <si>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김현수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김현수</t>
    </r>
    <r>
      <rPr>
        <b val="true"/>
        <sz val="10"/>
        <rFont val="Arial"/>
        <family val="0"/>
        <charset val="1"/>
      </rPr>
      <t xml:space="preserve">,</t>
    </r>
    <r>
      <rPr>
        <b val="true"/>
        <sz val="10"/>
        <rFont val="Noto Sans CJK SC"/>
        <family val="2"/>
      </rPr>
      <t xml:space="preserve">김리안</t>
    </r>
  </si>
  <si>
    <r>
      <rPr>
        <sz val="10"/>
        <rFont val="Noto Sans CJK SC"/>
        <family val="2"/>
      </rPr>
      <t xml:space="preserve">올톡에 「김현수김리안 </t>
    </r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 ₩</t>
    </r>
    <r>
      <rPr>
        <sz val="10"/>
        <rFont val="Arial"/>
        <family val="0"/>
        <charset val="1"/>
      </rPr>
      <t xml:space="preserve">200,000</t>
    </r>
    <r>
      <rPr>
        <sz val="10"/>
        <rFont val="Noto Sans CJK SC"/>
        <family val="2"/>
      </rPr>
      <t xml:space="preserve">」 결제완료 한 줄 — 두 아이 몫입니다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</si>
  <si>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형제 합산 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이름을 갈라 반씩 나눴습니다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 ₩</t>
    </r>
    <r>
      <rPr>
        <sz val="10"/>
        <rFont val="Arial"/>
        <family val="0"/>
        <charset val="1"/>
      </rPr>
      <t xml:space="preserve">100,000). </t>
    </r>
    <r>
      <rPr>
        <sz val="10"/>
        <rFont val="Noto Sans CJK SC"/>
        <family val="2"/>
      </rPr>
      <t xml:space="preserve">실제 금액이 다르면 사람이 고쳐야 합니다</t>
    </r>
    <r>
      <rPr>
        <sz val="10"/>
        <rFont val="Arial"/>
        <family val="0"/>
        <charset val="1"/>
      </rPr>
      <t xml:space="preserve">.</t>
    </r>
  </si>
  <si>
    <t xml:space="preserve">정레인 올톡 미발송</t>
  </si>
  <si>
    <r>
      <rPr>
        <sz val="10"/>
        <rFont val="Noto Sans CJK SC"/>
        <family val="2"/>
      </rPr>
      <t xml:space="preserve">올톡에 「정레인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학기 교재비 ₩</t>
    </r>
    <r>
      <rPr>
        <sz val="10"/>
        <rFont val="Arial"/>
        <family val="0"/>
        <charset val="1"/>
      </rPr>
      <t xml:space="preserve">211,700</t>
    </r>
    <r>
      <rPr>
        <sz val="10"/>
        <rFont val="Noto Sans CJK SC"/>
        <family val="2"/>
      </rPr>
      <t xml:space="preserve">」 발송완료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「정레인 </t>
    </r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 ₩</t>
    </r>
    <r>
      <rPr>
        <sz val="10"/>
        <rFont val="Arial"/>
        <family val="0"/>
        <charset val="1"/>
      </rPr>
      <t xml:space="preserve">45,000</t>
    </r>
    <r>
      <rPr>
        <sz val="10"/>
        <rFont val="Noto Sans CJK SC"/>
        <family val="2"/>
      </rPr>
      <t xml:space="preserve">」 결제중단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「정례인 </t>
    </r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 ₩</t>
    </r>
    <r>
      <rPr>
        <sz val="10"/>
        <rFont val="Arial"/>
        <family val="0"/>
        <charset val="1"/>
      </rPr>
      <t xml:space="preserve">85,000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발송완료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</si>
  <si>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「정례인」은 오타라 자동으로 안 붙습니다 — 사람이 봐야 하는 줄에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</si>
  <si>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송우진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송윤진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송우진</t>
    </r>
    <r>
      <rPr>
        <b val="true"/>
        <sz val="10"/>
        <rFont val="Arial"/>
        <family val="0"/>
        <charset val="1"/>
      </rPr>
      <t xml:space="preserve">,</t>
    </r>
    <r>
      <rPr>
        <b val="true"/>
        <sz val="10"/>
        <rFont val="Noto Sans CJK SC"/>
        <family val="2"/>
      </rPr>
      <t xml:space="preserve">송윤진</t>
    </r>
  </si>
  <si>
    <r>
      <rPr>
        <sz val="10"/>
        <rFont val="Noto Sans CJK SC"/>
        <family val="2"/>
      </rPr>
      <t xml:space="preserve">「송우진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윤진 </t>
    </r>
    <r>
      <rPr>
        <sz val="10"/>
        <rFont val="Arial"/>
        <family val="0"/>
        <charset val="1"/>
      </rPr>
      <t xml:space="preserve">GIA</t>
    </r>
    <r>
      <rPr>
        <sz val="10"/>
        <rFont val="Noto Sans CJK SC"/>
        <family val="2"/>
      </rPr>
      <t xml:space="preserve">교복 ₩</t>
    </r>
    <r>
      <rPr>
        <sz val="10"/>
        <rFont val="Arial"/>
        <family val="0"/>
        <charset val="1"/>
      </rPr>
      <t xml:space="preserve">195,000</t>
    </r>
    <r>
      <rPr>
        <sz val="10"/>
        <rFont val="Noto Sans CJK SC"/>
        <family val="2"/>
      </rPr>
      <t xml:space="preserve">」 결제완료 한 줄이 두 아이 몫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수기에는 우진 </t>
    </r>
    <r>
      <rPr>
        <sz val="10"/>
        <rFont val="Arial"/>
        <family val="0"/>
        <charset val="1"/>
      </rPr>
      <t xml:space="preserve">150,000 / </t>
    </r>
    <r>
      <rPr>
        <sz val="10"/>
        <rFont val="Noto Sans CJK SC"/>
        <family val="2"/>
      </rPr>
      <t xml:space="preserve">윤진 </t>
    </r>
    <r>
      <rPr>
        <sz val="10"/>
        <rFont val="Arial"/>
        <family val="0"/>
        <charset val="1"/>
      </rPr>
      <t xml:space="preserve">45,000.</t>
    </r>
  </si>
  <si>
    <r>
      <rPr>
        <sz val="10"/>
        <rFont val="Noto Sans CJK SC"/>
        <family val="2"/>
      </rPr>
      <t xml:space="preserve">합계는 맞지만 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반씩 나누면 틀립니다</t>
    </r>
    <r>
      <rPr>
        <sz val="10"/>
        <rFont val="Arial"/>
        <family val="0"/>
        <charset val="1"/>
      </rPr>
      <t xml:space="preserve">.** </t>
    </r>
    <r>
      <rPr>
        <sz val="10"/>
        <rFont val="Noto Sans CJK SC"/>
        <family val="2"/>
      </rPr>
      <t xml:space="preserve">형제 합산 줄은 사람이 쪼개야 합니다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</si>
</sst>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sz val="11"/>
      <color theme="1"/>
      <name val="Noto Sans CJK SC"/>
      <family val="2"/>
    </font>
    <font>
      <sz val="9"/>
      <color rgb="FF475569"/>
      <name val="Arial"/>
      <family val="0"/>
      <charset val="1"/>
    </font>
    <font>
      <sz val="9"/>
      <color rgb="FF475569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34155"/>
        <bgColor rgb="FF475569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70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301700</v>
      </c>
      <c r="C2" s="3" t="n">
        <v>311700</v>
      </c>
      <c r="D2" s="3" t="n">
        <f aca="false">B2-C2</f>
        <v>-10000</v>
      </c>
      <c r="E2" s="4" t="str">
        <f aca="false">IF(D2=0,"완납",IF(D2&lt;0,"과납 — 확인 필요",IF(C2=0,"받은 기록 없음","일부 납부")))</f>
        <v>과납 — 확인 필요</v>
      </c>
      <c r="F2" s="3" t="n">
        <v>201700</v>
      </c>
      <c r="G2" s="3" t="n">
        <v>211700</v>
      </c>
      <c r="H2" s="3" t="n">
        <f aca="false">F2-G2</f>
        <v>-10000</v>
      </c>
      <c r="I2" s="3" t="n">
        <v>211700</v>
      </c>
      <c r="J2" s="5" t="s">
        <v>11</v>
      </c>
    </row>
    <row r="3" customFormat="false" ht="15" hidden="false" customHeight="false" outlineLevel="0" collapsed="false">
      <c r="A3" s="2" t="s">
        <v>12</v>
      </c>
      <c r="B3" s="3" t="n">
        <v>291200</v>
      </c>
      <c r="C3" s="3" t="n">
        <v>191200</v>
      </c>
      <c r="D3" s="3" t="n">
        <f aca="false">B3-C3</f>
        <v>100000</v>
      </c>
      <c r="E3" s="6" t="str">
        <f aca="false">IF(D3=0,"완납",IF(D3&lt;0,"과납 — 확인 필요",IF(C3=0,"받은 기록 없음","일부 납부")))</f>
        <v>일부 납부</v>
      </c>
      <c r="F3" s="3" t="n">
        <v>191200</v>
      </c>
      <c r="G3" s="3" t="n">
        <v>191200</v>
      </c>
      <c r="H3" s="3" t="n">
        <f aca="false">F3-G3</f>
        <v>0</v>
      </c>
      <c r="I3" s="3" t="n">
        <v>1100000</v>
      </c>
      <c r="J3" s="5" t="s">
        <v>13</v>
      </c>
    </row>
    <row r="4" customFormat="false" ht="15" hidden="false" customHeight="false" outlineLevel="0" collapsed="false">
      <c r="A4" s="2" t="s">
        <v>14</v>
      </c>
      <c r="B4" s="3" t="n">
        <v>352600</v>
      </c>
      <c r="C4" s="3" t="n">
        <v>0</v>
      </c>
      <c r="D4" s="3" t="n">
        <f aca="false">B4-C4</f>
        <v>352600</v>
      </c>
      <c r="E4" s="7" t="str">
        <f aca="false">IF(D4=0,"완납",IF(D4&lt;0,"과납 — 확인 필요",IF(C4=0,"받은 기록 없음","일부 납부")))</f>
        <v>받은 기록 없음</v>
      </c>
      <c r="F4" s="3" t="n">
        <v>211700</v>
      </c>
      <c r="G4" s="3" t="n">
        <v>0</v>
      </c>
      <c r="H4" s="3" t="n">
        <f aca="false">F4-G4</f>
        <v>211700</v>
      </c>
      <c r="I4" s="3" t="n">
        <v>311700</v>
      </c>
      <c r="J4" s="5"/>
    </row>
    <row r="5" customFormat="false" ht="15" hidden="false" customHeight="false" outlineLevel="0" collapsed="false">
      <c r="A5" s="2" t="s">
        <v>15</v>
      </c>
      <c r="B5" s="3" t="n">
        <v>336200</v>
      </c>
      <c r="C5" s="3" t="n">
        <v>145000</v>
      </c>
      <c r="D5" s="3" t="n">
        <f aca="false">B5-C5</f>
        <v>191200</v>
      </c>
      <c r="E5" s="6" t="str">
        <f aca="false">IF(D5=0,"완납",IF(D5&lt;0,"과납 — 확인 필요",IF(C5=0,"받은 기록 없음","일부 납부")))</f>
        <v>일부 납부</v>
      </c>
      <c r="F5" s="3" t="n">
        <v>191200</v>
      </c>
      <c r="G5" s="3" t="n">
        <v>0</v>
      </c>
      <c r="H5" s="3" t="n">
        <f aca="false">F5-G5</f>
        <v>191200</v>
      </c>
      <c r="I5" s="3" t="n">
        <v>1191200</v>
      </c>
      <c r="J5" s="5" t="s">
        <v>16</v>
      </c>
    </row>
    <row r="6" customFormat="false" ht="15" hidden="false" customHeight="false" outlineLevel="0" collapsed="false">
      <c r="A6" s="2" t="s">
        <v>17</v>
      </c>
      <c r="B6" s="3" t="n">
        <v>282900</v>
      </c>
      <c r="C6" s="3" t="n">
        <v>0</v>
      </c>
      <c r="D6" s="3" t="n">
        <f aca="false">B6-C6</f>
        <v>282900</v>
      </c>
      <c r="E6" s="7" t="str">
        <f aca="false">IF(D6=0,"완납",IF(D6&lt;0,"과납 — 확인 필요",IF(C6=0,"받은 기록 없음","일부 납부")))</f>
        <v>받은 기록 없음</v>
      </c>
      <c r="F6" s="3" t="n">
        <v>170000</v>
      </c>
      <c r="G6" s="3" t="n">
        <v>0</v>
      </c>
      <c r="H6" s="3" t="n">
        <f aca="false">F6-G6</f>
        <v>170000</v>
      </c>
      <c r="I6" s="3" t="n">
        <v>2493000</v>
      </c>
      <c r="J6" s="5"/>
    </row>
    <row r="7" customFormat="false" ht="15" hidden="false" customHeight="false" outlineLevel="0" collapsed="false">
      <c r="A7" s="2" t="s">
        <v>18</v>
      </c>
      <c r="B7" s="3" t="n">
        <v>291000</v>
      </c>
      <c r="C7" s="3" t="n">
        <v>291000</v>
      </c>
      <c r="D7" s="3" t="n">
        <f aca="false">B7-C7</f>
        <v>0</v>
      </c>
      <c r="E7" s="8" t="str">
        <f aca="false">IF(D7=0,"완납",IF(D7&lt;0,"과납 — 확인 필요",IF(C7=0,"받은 기록 없음","일부 납부")))</f>
        <v>완납</v>
      </c>
      <c r="F7" s="3" t="n">
        <v>191000</v>
      </c>
      <c r="G7" s="3" t="n">
        <v>191000</v>
      </c>
      <c r="H7" s="3" t="n">
        <f aca="false">F7-G7</f>
        <v>0</v>
      </c>
      <c r="I7" s="3" t="n">
        <v>0</v>
      </c>
      <c r="J7" s="5" t="s">
        <v>19</v>
      </c>
    </row>
    <row r="8" customFormat="false" ht="15" hidden="false" customHeight="false" outlineLevel="0" collapsed="false">
      <c r="A8" s="2" t="s">
        <v>20</v>
      </c>
      <c r="B8" s="3" t="n">
        <v>270000</v>
      </c>
      <c r="C8" s="3" t="n">
        <v>100000</v>
      </c>
      <c r="D8" s="3" t="n">
        <f aca="false">B8-C8</f>
        <v>170000</v>
      </c>
      <c r="E8" s="6" t="str">
        <f aca="false">IF(D8=0,"완납",IF(D8&lt;0,"과납 — 확인 필요",IF(C8=0,"받은 기록 없음","일부 납부")))</f>
        <v>일부 납부</v>
      </c>
      <c r="F8" s="3" t="n">
        <v>170000</v>
      </c>
      <c r="G8" s="3" t="n">
        <v>0</v>
      </c>
      <c r="H8" s="3" t="n">
        <f aca="false">F8-G8</f>
        <v>170000</v>
      </c>
      <c r="I8" s="3" t="n">
        <v>500700</v>
      </c>
      <c r="J8" s="5" t="s">
        <v>21</v>
      </c>
    </row>
    <row r="9" customFormat="false" ht="15" hidden="false" customHeight="false" outlineLevel="0" collapsed="false">
      <c r="A9" s="2" t="s">
        <v>22</v>
      </c>
      <c r="B9" s="3" t="n">
        <v>291000</v>
      </c>
      <c r="C9" s="3" t="n">
        <v>291000</v>
      </c>
      <c r="D9" s="3" t="n">
        <f aca="false">B9-C9</f>
        <v>0</v>
      </c>
      <c r="E9" s="8" t="str">
        <f aca="false">IF(D9=0,"완납",IF(D9&lt;0,"과납 — 확인 필요",IF(C9=0,"받은 기록 없음","일부 납부")))</f>
        <v>완납</v>
      </c>
      <c r="F9" s="3" t="n">
        <v>191000</v>
      </c>
      <c r="G9" s="3" t="n">
        <v>191000</v>
      </c>
      <c r="H9" s="3" t="n">
        <f aca="false">F9-G9</f>
        <v>0</v>
      </c>
      <c r="I9" s="3" t="n">
        <v>0</v>
      </c>
      <c r="J9" s="5" t="s">
        <v>23</v>
      </c>
    </row>
    <row r="10" customFormat="false" ht="15" hidden="false" customHeight="false" outlineLevel="0" collapsed="false">
      <c r="A10" s="2" t="s">
        <v>24</v>
      </c>
      <c r="B10" s="3" t="n">
        <v>173000</v>
      </c>
      <c r="C10" s="3" t="n">
        <v>173000</v>
      </c>
      <c r="D10" s="3" t="n">
        <f aca="false">B10-C10</f>
        <v>0</v>
      </c>
      <c r="E10" s="8" t="str">
        <f aca="false">IF(D10=0,"완납",IF(D10&lt;0,"과납 — 확인 필요",IF(C10=0,"받은 기록 없음","일부 납부")))</f>
        <v>완납</v>
      </c>
      <c r="F10" s="3" t="n">
        <v>173000</v>
      </c>
      <c r="G10" s="3" t="n">
        <v>173000</v>
      </c>
      <c r="H10" s="3" t="n">
        <f aca="false">F10-G10</f>
        <v>0</v>
      </c>
      <c r="I10" s="3" t="n">
        <v>173000</v>
      </c>
      <c r="J10" s="5" t="s">
        <v>25</v>
      </c>
    </row>
    <row r="11" customFormat="false" ht="15" hidden="false" customHeight="false" outlineLevel="0" collapsed="false">
      <c r="A11" s="2" t="s">
        <v>26</v>
      </c>
      <c r="B11" s="3" t="n">
        <v>270000</v>
      </c>
      <c r="C11" s="3" t="n">
        <v>270000</v>
      </c>
      <c r="D11" s="3" t="n">
        <f aca="false">B11-C11</f>
        <v>0</v>
      </c>
      <c r="E11" s="8" t="str">
        <f aca="false">IF(D11=0,"완납",IF(D11&lt;0,"과납 — 확인 필요",IF(C11=0,"받은 기록 없음","일부 납부")))</f>
        <v>완납</v>
      </c>
      <c r="F11" s="3" t="n">
        <v>170000</v>
      </c>
      <c r="G11" s="3" t="n">
        <v>170000</v>
      </c>
      <c r="H11" s="3" t="n">
        <f aca="false">F11-G11</f>
        <v>0</v>
      </c>
      <c r="I11" s="3" t="n">
        <v>0</v>
      </c>
      <c r="J11" s="5" t="s">
        <v>27</v>
      </c>
    </row>
    <row r="12" customFormat="false" ht="15" hidden="false" customHeight="false" outlineLevel="0" collapsed="false">
      <c r="A12" s="2" t="s">
        <v>28</v>
      </c>
      <c r="B12" s="3" t="n">
        <v>880000</v>
      </c>
      <c r="C12" s="3" t="n">
        <v>1230000</v>
      </c>
      <c r="D12" s="3" t="n">
        <f aca="false">B12-C12</f>
        <v>-350000</v>
      </c>
      <c r="E12" s="4" t="str">
        <f aca="false">IF(D12=0,"완납",IF(D12&lt;0,"과납 — 확인 필요",IF(C12=0,"받은 기록 없음","일부 납부")))</f>
        <v>과납 — 확인 필요</v>
      </c>
      <c r="F12" s="3" t="n">
        <v>170000</v>
      </c>
      <c r="G12" s="3" t="n">
        <v>0</v>
      </c>
      <c r="H12" s="3" t="n">
        <f aca="false">F12-G12</f>
        <v>170000</v>
      </c>
      <c r="I12" s="3" t="n">
        <v>170000</v>
      </c>
      <c r="J12" s="9" t="s">
        <v>29</v>
      </c>
    </row>
    <row r="13" customFormat="false" ht="15" hidden="false" customHeight="false" outlineLevel="0" collapsed="false">
      <c r="A13" s="2" t="s">
        <v>30</v>
      </c>
      <c r="B13" s="3" t="n">
        <v>291000</v>
      </c>
      <c r="C13" s="3" t="n">
        <v>291000</v>
      </c>
      <c r="D13" s="3" t="n">
        <f aca="false">B13-C13</f>
        <v>0</v>
      </c>
      <c r="E13" s="8" t="str">
        <f aca="false">IF(D13=0,"완납",IF(D13&lt;0,"과납 — 확인 필요",IF(C13=0,"받은 기록 없음","일부 납부")))</f>
        <v>완납</v>
      </c>
      <c r="F13" s="3" t="n">
        <v>191000</v>
      </c>
      <c r="G13" s="3" t="n">
        <v>191000</v>
      </c>
      <c r="H13" s="3" t="n">
        <f aca="false">F13-G13</f>
        <v>0</v>
      </c>
      <c r="I13" s="3" t="n">
        <v>0</v>
      </c>
      <c r="J13" s="5" t="s">
        <v>31</v>
      </c>
    </row>
    <row r="14" customFormat="false" ht="15" hidden="false" customHeight="false" outlineLevel="0" collapsed="false">
      <c r="A14" s="2" t="s">
        <v>32</v>
      </c>
      <c r="B14" s="3" t="n">
        <v>361000</v>
      </c>
      <c r="C14" s="3" t="n">
        <v>191000</v>
      </c>
      <c r="D14" s="3" t="n">
        <f aca="false">B14-C14</f>
        <v>170000</v>
      </c>
      <c r="E14" s="6" t="str">
        <f aca="false">IF(D14=0,"완납",IF(D14&lt;0,"과납 — 확인 필요",IF(C14=0,"받은 기록 없음","일부 납부")))</f>
        <v>일부 납부</v>
      </c>
      <c r="F14" s="3" t="n">
        <v>191000</v>
      </c>
      <c r="G14" s="3" t="n">
        <v>191000</v>
      </c>
      <c r="H14" s="3" t="n">
        <f aca="false">F14-G14</f>
        <v>0</v>
      </c>
      <c r="I14" s="3" t="n">
        <v>70000</v>
      </c>
      <c r="J14" s="5" t="s">
        <v>33</v>
      </c>
    </row>
    <row r="15" customFormat="false" ht="15" hidden="false" customHeight="false" outlineLevel="0" collapsed="false">
      <c r="A15" s="2" t="s">
        <v>34</v>
      </c>
      <c r="B15" s="3" t="n">
        <v>301000</v>
      </c>
      <c r="C15" s="3" t="n">
        <v>291000</v>
      </c>
      <c r="D15" s="3" t="n">
        <f aca="false">B15-C15</f>
        <v>10000</v>
      </c>
      <c r="E15" s="6" t="str">
        <f aca="false">IF(D15=0,"완납",IF(D15&lt;0,"과납 — 확인 필요",IF(C15=0,"받은 기록 없음","일부 납부")))</f>
        <v>일부 납부</v>
      </c>
      <c r="F15" s="3" t="n">
        <v>201000</v>
      </c>
      <c r="G15" s="3" t="n">
        <v>191000</v>
      </c>
      <c r="H15" s="3" t="n">
        <f aca="false">F15-G15</f>
        <v>10000</v>
      </c>
      <c r="I15" s="3" t="n">
        <v>0</v>
      </c>
      <c r="J15" s="5" t="s">
        <v>35</v>
      </c>
    </row>
    <row r="16" customFormat="false" ht="15" hidden="false" customHeight="false" outlineLevel="0" collapsed="false">
      <c r="A16" s="2" t="s">
        <v>36</v>
      </c>
      <c r="B16" s="3" t="n">
        <v>301000</v>
      </c>
      <c r="C16" s="3" t="n">
        <v>291000</v>
      </c>
      <c r="D16" s="3" t="n">
        <f aca="false">B16-C16</f>
        <v>10000</v>
      </c>
      <c r="E16" s="6" t="str">
        <f aca="false">IF(D16=0,"완납",IF(D16&lt;0,"과납 — 확인 필요",IF(C16=0,"받은 기록 없음","일부 납부")))</f>
        <v>일부 납부</v>
      </c>
      <c r="F16" s="3" t="n">
        <v>201000</v>
      </c>
      <c r="G16" s="3" t="n">
        <v>191000</v>
      </c>
      <c r="H16" s="3" t="n">
        <f aca="false">F16-G16</f>
        <v>10000</v>
      </c>
      <c r="I16" s="3" t="n">
        <v>0</v>
      </c>
      <c r="J16" s="5" t="s">
        <v>23</v>
      </c>
    </row>
    <row r="17" customFormat="false" ht="15" hidden="false" customHeight="false" outlineLevel="0" collapsed="false">
      <c r="A17" s="2" t="s">
        <v>37</v>
      </c>
      <c r="B17" s="3" t="n">
        <v>180000</v>
      </c>
      <c r="C17" s="3" t="n">
        <v>0</v>
      </c>
      <c r="D17" s="3" t="n">
        <f aca="false">B17-C17</f>
        <v>180000</v>
      </c>
      <c r="E17" s="7" t="str">
        <f aca="false">IF(D17=0,"완납",IF(D17&lt;0,"과납 — 확인 필요",IF(C17=0,"받은 기록 없음","일부 납부")))</f>
        <v>받은 기록 없음</v>
      </c>
      <c r="F17" s="3" t="n">
        <v>180000</v>
      </c>
      <c r="G17" s="3" t="n">
        <v>0</v>
      </c>
      <c r="H17" s="3" t="n">
        <f aca="false">F17-G17</f>
        <v>180000</v>
      </c>
      <c r="I17" s="3" t="n">
        <v>170000</v>
      </c>
      <c r="J17" s="5"/>
    </row>
    <row r="18" customFormat="false" ht="15" hidden="false" customHeight="false" outlineLevel="0" collapsed="false">
      <c r="A18" s="2" t="s">
        <v>38</v>
      </c>
      <c r="B18" s="3" t="n">
        <v>360000</v>
      </c>
      <c r="C18" s="3" t="n">
        <v>200000</v>
      </c>
      <c r="D18" s="3" t="n">
        <f aca="false">B18-C18</f>
        <v>160000</v>
      </c>
      <c r="E18" s="6" t="str">
        <f aca="false">IF(D18=0,"완납",IF(D18&lt;0,"과납 — 확인 필요",IF(C18=0,"받은 기록 없음","일부 납부")))</f>
        <v>일부 납부</v>
      </c>
      <c r="F18" s="3" t="n">
        <v>160000</v>
      </c>
      <c r="G18" s="3" t="n">
        <v>0</v>
      </c>
      <c r="H18" s="3" t="n">
        <f aca="false">F18-G18</f>
        <v>160000</v>
      </c>
      <c r="I18" s="3" t="n">
        <v>260000</v>
      </c>
      <c r="J18" s="5" t="s">
        <v>39</v>
      </c>
    </row>
    <row r="19" customFormat="false" ht="15" hidden="false" customHeight="false" outlineLevel="0" collapsed="false">
      <c r="A19" s="2" t="s">
        <v>40</v>
      </c>
      <c r="B19" s="3" t="n">
        <v>311000</v>
      </c>
      <c r="C19" s="3" t="n">
        <v>301000</v>
      </c>
      <c r="D19" s="3" t="n">
        <f aca="false">B19-C19</f>
        <v>10000</v>
      </c>
      <c r="E19" s="6" t="str">
        <f aca="false">IF(D19=0,"완납",IF(D19&lt;0,"과납 — 확인 필요",IF(C19=0,"받은 기록 없음","일부 납부")))</f>
        <v>일부 납부</v>
      </c>
      <c r="F19" s="3" t="n">
        <v>211000</v>
      </c>
      <c r="G19" s="3" t="n">
        <v>201000</v>
      </c>
      <c r="H19" s="3" t="n">
        <f aca="false">F19-G19</f>
        <v>10000</v>
      </c>
      <c r="I19" s="3" t="n">
        <v>0</v>
      </c>
      <c r="J19" s="5" t="s">
        <v>41</v>
      </c>
    </row>
    <row r="20" customFormat="false" ht="15" hidden="false" customHeight="false" outlineLevel="0" collapsed="false">
      <c r="A20" s="2" t="s">
        <v>42</v>
      </c>
      <c r="B20" s="3" t="n">
        <v>270000</v>
      </c>
      <c r="C20" s="3" t="n">
        <v>100000</v>
      </c>
      <c r="D20" s="3" t="n">
        <f aca="false">B20-C20</f>
        <v>170000</v>
      </c>
      <c r="E20" s="6" t="str">
        <f aca="false">IF(D20=0,"완납",IF(D20&lt;0,"과납 — 확인 필요",IF(C20=0,"받은 기록 없음","일부 납부")))</f>
        <v>일부 납부</v>
      </c>
      <c r="F20" s="3" t="n">
        <v>170000</v>
      </c>
      <c r="G20" s="3" t="n">
        <v>0</v>
      </c>
      <c r="H20" s="3" t="n">
        <f aca="false">F20-G20</f>
        <v>170000</v>
      </c>
      <c r="I20" s="3" t="n">
        <v>375000</v>
      </c>
      <c r="J20" s="5" t="s">
        <v>43</v>
      </c>
    </row>
    <row r="21" customFormat="false" ht="15" hidden="false" customHeight="false" outlineLevel="0" collapsed="false">
      <c r="A21" s="2" t="s">
        <v>44</v>
      </c>
      <c r="B21" s="3" t="n">
        <v>391000</v>
      </c>
      <c r="C21" s="3" t="n">
        <v>100000</v>
      </c>
      <c r="D21" s="3" t="n">
        <f aca="false">B21-C21</f>
        <v>291000</v>
      </c>
      <c r="E21" s="6" t="str">
        <f aca="false">IF(D21=0,"완납",IF(D21&lt;0,"과납 — 확인 필요",IF(C21=0,"받은 기록 없음","일부 납부")))</f>
        <v>일부 납부</v>
      </c>
      <c r="F21" s="3" t="n">
        <v>291000</v>
      </c>
      <c r="G21" s="3" t="n">
        <v>0</v>
      </c>
      <c r="H21" s="3" t="n">
        <f aca="false">F21-G21</f>
        <v>291000</v>
      </c>
      <c r="I21" s="3" t="n">
        <v>291000</v>
      </c>
      <c r="J21" s="5" t="s">
        <v>45</v>
      </c>
    </row>
    <row r="22" customFormat="false" ht="15" hidden="false" customHeight="false" outlineLevel="0" collapsed="false">
      <c r="A22" s="2" t="s">
        <v>46</v>
      </c>
      <c r="B22" s="3" t="n">
        <v>180000</v>
      </c>
      <c r="C22" s="3" t="n">
        <v>0</v>
      </c>
      <c r="D22" s="3" t="n">
        <f aca="false">B22-C22</f>
        <v>180000</v>
      </c>
      <c r="E22" s="7" t="str">
        <f aca="false">IF(D22=0,"완납",IF(D22&lt;0,"과납 — 확인 필요",IF(C22=0,"받은 기록 없음","일부 납부")))</f>
        <v>받은 기록 없음</v>
      </c>
      <c r="F22" s="3" t="n">
        <v>180000</v>
      </c>
      <c r="G22" s="3" t="n">
        <v>0</v>
      </c>
      <c r="H22" s="3" t="n">
        <f aca="false">F22-G22</f>
        <v>180000</v>
      </c>
      <c r="I22" s="3" t="n">
        <v>170000</v>
      </c>
      <c r="J22" s="5"/>
    </row>
    <row r="23" customFormat="false" ht="15" hidden="false" customHeight="false" outlineLevel="0" collapsed="false">
      <c r="A23" s="2" t="s">
        <v>47</v>
      </c>
      <c r="B23" s="3" t="n">
        <v>300700</v>
      </c>
      <c r="C23" s="3" t="n">
        <v>0</v>
      </c>
      <c r="D23" s="3" t="n">
        <f aca="false">B23-C23</f>
        <v>300700</v>
      </c>
      <c r="E23" s="7" t="str">
        <f aca="false">IF(D23=0,"완납",IF(D23&lt;0,"과납 — 확인 필요",IF(C23=0,"받은 기록 없음","일부 납부")))</f>
        <v>받은 기록 없음</v>
      </c>
      <c r="F23" s="3" t="n">
        <v>200700</v>
      </c>
      <c r="G23" s="3" t="n">
        <v>0</v>
      </c>
      <c r="H23" s="3" t="n">
        <f aca="false">F23-G23</f>
        <v>200700</v>
      </c>
      <c r="I23" s="3" t="n">
        <v>300700</v>
      </c>
      <c r="J23" s="5"/>
    </row>
    <row r="24" customFormat="false" ht="15" hidden="false" customHeight="false" outlineLevel="0" collapsed="false">
      <c r="A24" s="2" t="s">
        <v>48</v>
      </c>
      <c r="B24" s="3" t="n">
        <v>923700</v>
      </c>
      <c r="C24" s="3" t="n">
        <v>813700</v>
      </c>
      <c r="D24" s="3" t="n">
        <f aca="false">B24-C24</f>
        <v>110000</v>
      </c>
      <c r="E24" s="6" t="str">
        <f aca="false">IF(D24=0,"완납",IF(D24&lt;0,"과납 — 확인 필요",IF(C24=0,"받은 기록 없음","일부 납부")))</f>
        <v>일부 납부</v>
      </c>
      <c r="F24" s="3" t="n">
        <v>623700</v>
      </c>
      <c r="G24" s="3" t="n">
        <v>603700</v>
      </c>
      <c r="H24" s="3" t="n">
        <f aca="false">F24-G24</f>
        <v>20000</v>
      </c>
      <c r="I24" s="3" t="n">
        <v>100000</v>
      </c>
      <c r="J24" s="9" t="s">
        <v>49</v>
      </c>
    </row>
    <row r="25" customFormat="false" ht="15" hidden="false" customHeight="false" outlineLevel="0" collapsed="false">
      <c r="A25" s="2" t="s">
        <v>50</v>
      </c>
      <c r="B25" s="3" t="n">
        <v>1261000</v>
      </c>
      <c r="C25" s="3" t="n">
        <v>100000</v>
      </c>
      <c r="D25" s="3" t="n">
        <f aca="false">B25-C25</f>
        <v>1161000</v>
      </c>
      <c r="E25" s="6" t="str">
        <f aca="false">IF(D25=0,"완납",IF(D25&lt;0,"과납 — 확인 필요",IF(C25=0,"받은 기록 없음","일부 납부")))</f>
        <v>일부 납부</v>
      </c>
      <c r="F25" s="3" t="n">
        <v>291000</v>
      </c>
      <c r="G25" s="3" t="n">
        <v>0</v>
      </c>
      <c r="H25" s="3" t="n">
        <f aca="false">F25-G25</f>
        <v>291000</v>
      </c>
      <c r="I25" s="3" t="n">
        <v>391000</v>
      </c>
      <c r="J25" s="5" t="s">
        <v>51</v>
      </c>
    </row>
    <row r="26" customFormat="false" ht="15" hidden="false" customHeight="false" outlineLevel="0" collapsed="false">
      <c r="A26" s="2" t="s">
        <v>52</v>
      </c>
      <c r="B26" s="3" t="n">
        <v>1001000</v>
      </c>
      <c r="C26" s="3" t="n">
        <v>100000</v>
      </c>
      <c r="D26" s="3" t="n">
        <f aca="false">B26-C26</f>
        <v>901000</v>
      </c>
      <c r="E26" s="6" t="str">
        <f aca="false">IF(D26=0,"완납",IF(D26&lt;0,"과납 — 확인 필요",IF(C26=0,"받은 기록 없음","일부 납부")))</f>
        <v>일부 납부</v>
      </c>
      <c r="F26" s="3" t="n">
        <v>291000</v>
      </c>
      <c r="G26" s="3" t="n">
        <v>0</v>
      </c>
      <c r="H26" s="3" t="n">
        <f aca="false">F26-G26</f>
        <v>291000</v>
      </c>
      <c r="I26" s="3" t="n">
        <v>291000</v>
      </c>
      <c r="J26" s="5" t="s">
        <v>51</v>
      </c>
    </row>
    <row r="27" customFormat="false" ht="15" hidden="false" customHeight="false" outlineLevel="0" collapsed="false">
      <c r="A27" s="2" t="s">
        <v>53</v>
      </c>
      <c r="B27" s="3" t="n">
        <v>280000</v>
      </c>
      <c r="C27" s="3" t="n">
        <v>270000</v>
      </c>
      <c r="D27" s="3" t="n">
        <f aca="false">B27-C27</f>
        <v>10000</v>
      </c>
      <c r="E27" s="6" t="str">
        <f aca="false">IF(D27=0,"완납",IF(D27&lt;0,"과납 — 확인 필요",IF(C27=0,"받은 기록 없음","일부 납부")))</f>
        <v>일부 납부</v>
      </c>
      <c r="F27" s="3" t="n">
        <v>180000</v>
      </c>
      <c r="G27" s="3" t="n">
        <v>170000</v>
      </c>
      <c r="H27" s="3" t="n">
        <f aca="false">F27-G27</f>
        <v>10000</v>
      </c>
      <c r="I27" s="3" t="n">
        <v>0</v>
      </c>
      <c r="J27" s="5" t="s">
        <v>54</v>
      </c>
    </row>
    <row r="28" customFormat="false" ht="15" hidden="false" customHeight="false" outlineLevel="0" collapsed="false">
      <c r="A28" s="2" t="s">
        <v>55</v>
      </c>
      <c r="B28" s="3" t="n">
        <v>280000</v>
      </c>
      <c r="C28" s="3" t="n">
        <v>100000</v>
      </c>
      <c r="D28" s="3" t="n">
        <f aca="false">B28-C28</f>
        <v>180000</v>
      </c>
      <c r="E28" s="6" t="str">
        <f aca="false">IF(D28=0,"완납",IF(D28&lt;0,"과납 — 확인 필요",IF(C28=0,"받은 기록 없음","일부 납부")))</f>
        <v>일부 납부</v>
      </c>
      <c r="F28" s="3" t="n">
        <v>180000</v>
      </c>
      <c r="G28" s="3" t="n">
        <v>0</v>
      </c>
      <c r="H28" s="3" t="n">
        <f aca="false">F28-G28</f>
        <v>180000</v>
      </c>
      <c r="I28" s="3" t="n">
        <v>820000</v>
      </c>
      <c r="J28" s="5" t="s">
        <v>56</v>
      </c>
    </row>
    <row r="29" customFormat="false" ht="15" hidden="false" customHeight="false" outlineLevel="0" collapsed="false">
      <c r="A29" s="2" t="s">
        <v>57</v>
      </c>
      <c r="B29" s="3" t="n">
        <v>400700</v>
      </c>
      <c r="C29" s="3" t="n">
        <v>716000</v>
      </c>
      <c r="D29" s="3" t="n">
        <f aca="false">B29-C29</f>
        <v>-315300</v>
      </c>
      <c r="E29" s="4" t="str">
        <f aca="false">IF(D29=0,"완납",IF(D29&lt;0,"과납 — 확인 필요",IF(C29=0,"받은 기록 없음","일부 납부")))</f>
        <v>과납 — 확인 필요</v>
      </c>
      <c r="F29" s="3" t="n">
        <v>200700</v>
      </c>
      <c r="G29" s="3" t="n">
        <v>191000</v>
      </c>
      <c r="H29" s="3" t="n">
        <f aca="false">F29-G29</f>
        <v>9700</v>
      </c>
      <c r="I29" s="3" t="n">
        <v>0</v>
      </c>
      <c r="J29" s="9" t="s">
        <v>58</v>
      </c>
    </row>
    <row r="30" customFormat="false" ht="15" hidden="false" customHeight="false" outlineLevel="0" collapsed="false">
      <c r="A30" s="2" t="s">
        <v>59</v>
      </c>
      <c r="B30" s="3" t="n">
        <v>370000</v>
      </c>
      <c r="C30" s="3" t="n">
        <v>370000</v>
      </c>
      <c r="D30" s="3" t="n">
        <f aca="false">B30-C30</f>
        <v>0</v>
      </c>
      <c r="E30" s="8" t="str">
        <f aca="false">IF(D30=0,"완납",IF(D30&lt;0,"과납 — 확인 필요",IF(C30=0,"받은 기록 없음","일부 납부")))</f>
        <v>완납</v>
      </c>
      <c r="F30" s="3" t="n">
        <v>170000</v>
      </c>
      <c r="G30" s="3" t="n">
        <v>170000</v>
      </c>
      <c r="H30" s="3" t="n">
        <f aca="false">F30-G30</f>
        <v>0</v>
      </c>
      <c r="I30" s="3" t="n">
        <v>0</v>
      </c>
      <c r="J30" s="5" t="s">
        <v>60</v>
      </c>
    </row>
    <row r="31" customFormat="false" ht="15" hidden="false" customHeight="false" outlineLevel="0" collapsed="false">
      <c r="A31" s="2" t="s">
        <v>61</v>
      </c>
      <c r="B31" s="3" t="n">
        <v>380000</v>
      </c>
      <c r="C31" s="3" t="n">
        <v>0</v>
      </c>
      <c r="D31" s="3" t="n">
        <f aca="false">B31-C31</f>
        <v>380000</v>
      </c>
      <c r="E31" s="7" t="str">
        <f aca="false">IF(D31=0,"완납",IF(D31&lt;0,"과납 — 확인 필요",IF(C31=0,"받은 기록 없음","일부 납부")))</f>
        <v>받은 기록 없음</v>
      </c>
      <c r="F31" s="3" t="n">
        <v>180000</v>
      </c>
      <c r="G31" s="3" t="n">
        <v>0</v>
      </c>
      <c r="H31" s="3" t="n">
        <f aca="false">F31-G31</f>
        <v>180000</v>
      </c>
      <c r="I31" s="3" t="n">
        <v>3235000</v>
      </c>
      <c r="J31" s="5"/>
    </row>
    <row r="32" customFormat="false" ht="15" hidden="false" customHeight="false" outlineLevel="0" collapsed="false">
      <c r="A32" s="2" t="s">
        <v>62</v>
      </c>
      <c r="B32" s="3" t="n">
        <v>211700</v>
      </c>
      <c r="C32" s="3" t="n">
        <v>0</v>
      </c>
      <c r="D32" s="3" t="n">
        <f aca="false">B32-C32</f>
        <v>211700</v>
      </c>
      <c r="E32" s="7" t="str">
        <f aca="false">IF(D32=0,"완납",IF(D32&lt;0,"과납 — 확인 필요",IF(C32=0,"받은 기록 없음","일부 납부")))</f>
        <v>받은 기록 없음</v>
      </c>
      <c r="F32" s="3" t="n">
        <v>211700</v>
      </c>
      <c r="G32" s="3" t="n">
        <v>0</v>
      </c>
      <c r="H32" s="3" t="n">
        <f aca="false">F32-G32</f>
        <v>211700</v>
      </c>
      <c r="I32" s="3" t="n">
        <v>0</v>
      </c>
      <c r="J32" s="5"/>
    </row>
    <row r="33" customFormat="false" ht="15" hidden="false" customHeight="false" outlineLevel="0" collapsed="false">
      <c r="A33" s="2" t="s">
        <v>63</v>
      </c>
      <c r="B33" s="3" t="n">
        <v>291000</v>
      </c>
      <c r="C33" s="3" t="n">
        <v>291000</v>
      </c>
      <c r="D33" s="3" t="n">
        <f aca="false">B33-C33</f>
        <v>0</v>
      </c>
      <c r="E33" s="8" t="str">
        <f aca="false">IF(D33=0,"완납",IF(D33&lt;0,"과납 — 확인 필요",IF(C33=0,"받은 기록 없음","일부 납부")))</f>
        <v>완납</v>
      </c>
      <c r="F33" s="3" t="n">
        <v>191000</v>
      </c>
      <c r="G33" s="3" t="n">
        <v>191000</v>
      </c>
      <c r="H33" s="3" t="n">
        <f aca="false">F33-G33</f>
        <v>0</v>
      </c>
      <c r="I33" s="3" t="n">
        <v>191000</v>
      </c>
      <c r="J33" s="5" t="s">
        <v>64</v>
      </c>
    </row>
    <row r="34" customFormat="false" ht="15" hidden="false" customHeight="false" outlineLevel="0" collapsed="false">
      <c r="A34" s="2" t="s">
        <v>65</v>
      </c>
      <c r="B34" s="3" t="n">
        <v>300700</v>
      </c>
      <c r="C34" s="3" t="n">
        <v>300700</v>
      </c>
      <c r="D34" s="3" t="n">
        <f aca="false">B34-C34</f>
        <v>0</v>
      </c>
      <c r="E34" s="8" t="str">
        <f aca="false">IF(D34=0,"완납",IF(D34&lt;0,"과납 — 확인 필요",IF(C34=0,"받은 기록 없음","일부 납부")))</f>
        <v>완납</v>
      </c>
      <c r="F34" s="3" t="n">
        <v>200700</v>
      </c>
      <c r="G34" s="3" t="n">
        <v>200700</v>
      </c>
      <c r="H34" s="3" t="n">
        <f aca="false">F34-G34</f>
        <v>0</v>
      </c>
      <c r="I34" s="3" t="n">
        <v>0</v>
      </c>
      <c r="J34" s="5" t="s">
        <v>66</v>
      </c>
    </row>
    <row r="35" customFormat="false" ht="15" hidden="false" customHeight="false" outlineLevel="0" collapsed="false">
      <c r="A35" s="2" t="s">
        <v>67</v>
      </c>
      <c r="B35" s="3" t="n">
        <v>170000</v>
      </c>
      <c r="C35" s="3" t="n">
        <v>0</v>
      </c>
      <c r="D35" s="3" t="n">
        <f aca="false">B35-C35</f>
        <v>170000</v>
      </c>
      <c r="E35" s="7" t="str">
        <f aca="false">IF(D35=0,"완납",IF(D35&lt;0,"과납 — 확인 필요",IF(C35=0,"받은 기록 없음","일부 납부")))</f>
        <v>받은 기록 없음</v>
      </c>
      <c r="F35" s="3" t="n">
        <v>170000</v>
      </c>
      <c r="G35" s="3" t="n">
        <v>0</v>
      </c>
      <c r="H35" s="3" t="n">
        <f aca="false">F35-G35</f>
        <v>170000</v>
      </c>
      <c r="I35" s="3" t="n">
        <v>0</v>
      </c>
      <c r="J35" s="5"/>
    </row>
    <row r="36" customFormat="false" ht="15" hidden="false" customHeight="false" outlineLevel="0" collapsed="false">
      <c r="A36" s="2" t="s">
        <v>68</v>
      </c>
      <c r="B36" s="3" t="n">
        <v>311700</v>
      </c>
      <c r="C36" s="3" t="n">
        <v>0</v>
      </c>
      <c r="D36" s="3" t="n">
        <f aca="false">B36-C36</f>
        <v>311700</v>
      </c>
      <c r="E36" s="7" t="str">
        <f aca="false">IF(D36=0,"완납",IF(D36&lt;0,"과납 — 확인 필요",IF(C36=0,"받은 기록 없음","일부 납부")))</f>
        <v>받은 기록 없음</v>
      </c>
      <c r="F36" s="3" t="n">
        <v>211700</v>
      </c>
      <c r="G36" s="3" t="n">
        <v>0</v>
      </c>
      <c r="H36" s="3" t="n">
        <f aca="false">F36-G36</f>
        <v>211700</v>
      </c>
      <c r="I36" s="3" t="n">
        <v>0</v>
      </c>
      <c r="J36" s="5"/>
    </row>
    <row r="37" customFormat="false" ht="15" hidden="false" customHeight="false" outlineLevel="0" collapsed="false">
      <c r="A37" s="2" t="s">
        <v>69</v>
      </c>
      <c r="B37" s="3" t="n">
        <v>291000</v>
      </c>
      <c r="C37" s="3" t="n">
        <v>100000</v>
      </c>
      <c r="D37" s="3" t="n">
        <f aca="false">B37-C37</f>
        <v>191000</v>
      </c>
      <c r="E37" s="6" t="str">
        <f aca="false">IF(D37=0,"완납",IF(D37&lt;0,"과납 — 확인 필요",IF(C37=0,"받은 기록 없음","일부 납부")))</f>
        <v>일부 납부</v>
      </c>
      <c r="F37" s="3" t="n">
        <v>191000</v>
      </c>
      <c r="G37" s="3" t="n">
        <v>0</v>
      </c>
      <c r="H37" s="3" t="n">
        <f aca="false">F37-G37</f>
        <v>191000</v>
      </c>
      <c r="I37" s="3" t="n">
        <v>2200000</v>
      </c>
      <c r="J37" s="5" t="s">
        <v>56</v>
      </c>
    </row>
    <row r="38" customFormat="false" ht="15" hidden="false" customHeight="false" outlineLevel="0" collapsed="false">
      <c r="A38" s="2" t="s">
        <v>70</v>
      </c>
      <c r="B38" s="3" t="n">
        <v>311700</v>
      </c>
      <c r="C38" s="3" t="n">
        <v>100000</v>
      </c>
      <c r="D38" s="3" t="n">
        <f aca="false">B38-C38</f>
        <v>211700</v>
      </c>
      <c r="E38" s="6" t="str">
        <f aca="false">IF(D38=0,"완납",IF(D38&lt;0,"과납 — 확인 필요",IF(C38=0,"받은 기록 없음","일부 납부")))</f>
        <v>일부 납부</v>
      </c>
      <c r="F38" s="3" t="n">
        <v>211700</v>
      </c>
      <c r="G38" s="3" t="n">
        <v>0</v>
      </c>
      <c r="H38" s="3" t="n">
        <f aca="false">F38-G38</f>
        <v>211700</v>
      </c>
      <c r="I38" s="3" t="n">
        <v>201700</v>
      </c>
      <c r="J38" s="5" t="s">
        <v>56</v>
      </c>
    </row>
    <row r="39" customFormat="false" ht="15" hidden="false" customHeight="false" outlineLevel="0" collapsed="false">
      <c r="A39" s="2" t="s">
        <v>71</v>
      </c>
      <c r="B39" s="3" t="n">
        <v>311700</v>
      </c>
      <c r="C39" s="3" t="n">
        <v>311700</v>
      </c>
      <c r="D39" s="3" t="n">
        <f aca="false">B39-C39</f>
        <v>0</v>
      </c>
      <c r="E39" s="8" t="str">
        <f aca="false">IF(D39=0,"완납",IF(D39&lt;0,"과납 — 확인 필요",IF(C39=0,"받은 기록 없음","일부 납부")))</f>
        <v>완납</v>
      </c>
      <c r="F39" s="3" t="n">
        <v>211700</v>
      </c>
      <c r="G39" s="3" t="n">
        <v>211700</v>
      </c>
      <c r="H39" s="3" t="n">
        <f aca="false">F39-G39</f>
        <v>0</v>
      </c>
      <c r="I39" s="3" t="n">
        <v>75000</v>
      </c>
      <c r="J39" s="5" t="s">
        <v>72</v>
      </c>
    </row>
    <row r="40" customFormat="false" ht="15" hidden="false" customHeight="false" outlineLevel="0" collapsed="false">
      <c r="A40" s="2" t="s">
        <v>73</v>
      </c>
      <c r="B40" s="3" t="n">
        <v>383000</v>
      </c>
      <c r="C40" s="3" t="n">
        <v>373000</v>
      </c>
      <c r="D40" s="3" t="n">
        <f aca="false">B40-C40</f>
        <v>10000</v>
      </c>
      <c r="E40" s="6" t="str">
        <f aca="false">IF(D40=0,"완납",IF(D40&lt;0,"과납 — 확인 필요",IF(C40=0,"받은 기록 없음","일부 납부")))</f>
        <v>일부 납부</v>
      </c>
      <c r="F40" s="3" t="n">
        <v>283000</v>
      </c>
      <c r="G40" s="3" t="n">
        <v>273000</v>
      </c>
      <c r="H40" s="3" t="n">
        <f aca="false">F40-G40</f>
        <v>10000</v>
      </c>
      <c r="I40" s="3" t="n">
        <v>0</v>
      </c>
      <c r="J40" s="5" t="s">
        <v>74</v>
      </c>
    </row>
    <row r="41" customFormat="false" ht="15" hidden="false" customHeight="false" outlineLevel="0" collapsed="false">
      <c r="A41" s="2" t="s">
        <v>75</v>
      </c>
      <c r="B41" s="3" t="n">
        <v>291000</v>
      </c>
      <c r="C41" s="3" t="n">
        <v>100000</v>
      </c>
      <c r="D41" s="3" t="n">
        <f aca="false">B41-C41</f>
        <v>191000</v>
      </c>
      <c r="E41" s="6" t="str">
        <f aca="false">IF(D41=0,"완납",IF(D41&lt;0,"과납 — 확인 필요",IF(C41=0,"받은 기록 없음","일부 납부")))</f>
        <v>일부 납부</v>
      </c>
      <c r="F41" s="3" t="n">
        <v>191000</v>
      </c>
      <c r="G41" s="3" t="n">
        <v>0</v>
      </c>
      <c r="H41" s="3" t="n">
        <f aca="false">F41-G41</f>
        <v>191000</v>
      </c>
      <c r="I41" s="3" t="n">
        <v>191000</v>
      </c>
      <c r="J41" s="5" t="s">
        <v>21</v>
      </c>
    </row>
    <row r="42" customFormat="false" ht="15" hidden="false" customHeight="false" outlineLevel="0" collapsed="false">
      <c r="A42" s="2" t="s">
        <v>76</v>
      </c>
      <c r="B42" s="3" t="n">
        <v>273000</v>
      </c>
      <c r="C42" s="3" t="n">
        <v>273000</v>
      </c>
      <c r="D42" s="3" t="n">
        <f aca="false">B42-C42</f>
        <v>0</v>
      </c>
      <c r="E42" s="8" t="str">
        <f aca="false">IF(D42=0,"완납",IF(D42&lt;0,"과납 — 확인 필요",IF(C42=0,"받은 기록 없음","일부 납부")))</f>
        <v>완납</v>
      </c>
      <c r="F42" s="3" t="n">
        <v>173000</v>
      </c>
      <c r="G42" s="3" t="n">
        <v>173000</v>
      </c>
      <c r="H42" s="3" t="n">
        <f aca="false">F42-G42</f>
        <v>0</v>
      </c>
      <c r="I42" s="3" t="n">
        <v>0</v>
      </c>
      <c r="J42" s="5" t="s">
        <v>77</v>
      </c>
    </row>
    <row r="43" customFormat="false" ht="15" hidden="false" customHeight="false" outlineLevel="0" collapsed="false">
      <c r="A43" s="2" t="s">
        <v>78</v>
      </c>
      <c r="B43" s="3" t="n">
        <v>291000</v>
      </c>
      <c r="C43" s="3" t="n">
        <v>191000</v>
      </c>
      <c r="D43" s="3" t="n">
        <f aca="false">B43-C43</f>
        <v>100000</v>
      </c>
      <c r="E43" s="6" t="str">
        <f aca="false">IF(D43=0,"완납",IF(D43&lt;0,"과납 — 확인 필요",IF(C43=0,"받은 기록 없음","일부 납부")))</f>
        <v>일부 납부</v>
      </c>
      <c r="F43" s="3" t="n">
        <v>191000</v>
      </c>
      <c r="G43" s="3" t="n">
        <v>191000</v>
      </c>
      <c r="H43" s="3" t="n">
        <f aca="false">F43-G43</f>
        <v>0</v>
      </c>
      <c r="I43" s="3" t="n">
        <v>760000</v>
      </c>
      <c r="J43" s="5" t="s">
        <v>33</v>
      </c>
    </row>
    <row r="44" customFormat="false" ht="15" hidden="false" customHeight="false" outlineLevel="0" collapsed="false">
      <c r="A44" s="2" t="s">
        <v>79</v>
      </c>
      <c r="B44" s="3" t="n">
        <v>291000</v>
      </c>
      <c r="C44" s="3" t="n">
        <v>0</v>
      </c>
      <c r="D44" s="3" t="n">
        <f aca="false">B44-C44</f>
        <v>291000</v>
      </c>
      <c r="E44" s="7" t="str">
        <f aca="false">IF(D44=0,"완납",IF(D44&lt;0,"과납 — 확인 필요",IF(C44=0,"받은 기록 없음","일부 납부")))</f>
        <v>받은 기록 없음</v>
      </c>
      <c r="F44" s="3" t="n">
        <v>191000</v>
      </c>
      <c r="G44" s="3" t="n">
        <v>0</v>
      </c>
      <c r="H44" s="3" t="n">
        <f aca="false">F44-G44</f>
        <v>191000</v>
      </c>
      <c r="I44" s="3" t="n">
        <v>1201000</v>
      </c>
      <c r="J44" s="5"/>
    </row>
    <row r="45" customFormat="false" ht="15" hidden="false" customHeight="false" outlineLevel="0" collapsed="false">
      <c r="A45" s="2" t="s">
        <v>80</v>
      </c>
      <c r="B45" s="3" t="n">
        <v>1132700</v>
      </c>
      <c r="C45" s="3" t="n">
        <v>1080200</v>
      </c>
      <c r="D45" s="3" t="n">
        <f aca="false">B45-C45</f>
        <v>52500</v>
      </c>
      <c r="E45" s="6" t="str">
        <f aca="false">IF(D45=0,"완납",IF(D45&lt;0,"과납 — 확인 필요",IF(C45=0,"받은 기록 없음","일부 납부")))</f>
        <v>일부 납부</v>
      </c>
      <c r="F45" s="3" t="n">
        <v>200700</v>
      </c>
      <c r="G45" s="3" t="n">
        <v>200700</v>
      </c>
      <c r="H45" s="3" t="n">
        <f aca="false">F45-G45</f>
        <v>0</v>
      </c>
      <c r="I45" s="3" t="n">
        <v>0</v>
      </c>
      <c r="J45" s="5" t="s">
        <v>81</v>
      </c>
    </row>
    <row r="46" customFormat="false" ht="15" hidden="false" customHeight="false" outlineLevel="0" collapsed="false">
      <c r="A46" s="2" t="s">
        <v>82</v>
      </c>
      <c r="B46" s="3" t="n">
        <v>1038700</v>
      </c>
      <c r="C46" s="3" t="n">
        <v>1091200</v>
      </c>
      <c r="D46" s="3" t="n">
        <f aca="false">B46-C46</f>
        <v>-52500</v>
      </c>
      <c r="E46" s="4" t="str">
        <f aca="false">IF(D46=0,"완납",IF(D46&lt;0,"과납 — 확인 필요",IF(C46=0,"받은 기록 없음","일부 납부")))</f>
        <v>과납 — 확인 필요</v>
      </c>
      <c r="F46" s="3" t="n">
        <v>211700</v>
      </c>
      <c r="G46" s="3" t="n">
        <v>211700</v>
      </c>
      <c r="H46" s="3" t="n">
        <f aca="false">F46-G46</f>
        <v>0</v>
      </c>
      <c r="I46" s="3" t="n">
        <v>0</v>
      </c>
      <c r="J46" s="5" t="s">
        <v>83</v>
      </c>
    </row>
    <row r="47" customFormat="false" ht="15" hidden="false" customHeight="false" outlineLevel="0" collapsed="false">
      <c r="A47" s="2" t="s">
        <v>84</v>
      </c>
      <c r="B47" s="3" t="n">
        <v>391000</v>
      </c>
      <c r="C47" s="3" t="n">
        <v>841000</v>
      </c>
      <c r="D47" s="3" t="n">
        <f aca="false">B47-C47</f>
        <v>-450000</v>
      </c>
      <c r="E47" s="4" t="str">
        <f aca="false">IF(D47=0,"완납",IF(D47&lt;0,"과납 — 확인 필요",IF(C47=0,"받은 기록 없음","일부 납부")))</f>
        <v>과납 — 확인 필요</v>
      </c>
      <c r="F47" s="3" t="n">
        <v>191000</v>
      </c>
      <c r="G47" s="3" t="n">
        <v>191000</v>
      </c>
      <c r="H47" s="3" t="n">
        <f aca="false">F47-G47</f>
        <v>0</v>
      </c>
      <c r="I47" s="3" t="n">
        <v>0</v>
      </c>
      <c r="J47" s="9" t="s">
        <v>85</v>
      </c>
    </row>
    <row r="48" customFormat="false" ht="15" hidden="false" customHeight="false" outlineLevel="0" collapsed="false">
      <c r="A48" s="2" t="s">
        <v>86</v>
      </c>
      <c r="B48" s="3" t="n">
        <v>341000</v>
      </c>
      <c r="C48" s="3" t="n">
        <v>471000</v>
      </c>
      <c r="D48" s="3" t="n">
        <f aca="false">B48-C48</f>
        <v>-130000</v>
      </c>
      <c r="E48" s="4" t="str">
        <f aca="false">IF(D48=0,"완납",IF(D48&lt;0,"과납 — 확인 필요",IF(C48=0,"받은 기록 없음","일부 납부")))</f>
        <v>과납 — 확인 필요</v>
      </c>
      <c r="F48" s="3" t="n">
        <v>191000</v>
      </c>
      <c r="G48" s="3" t="n">
        <v>191000</v>
      </c>
      <c r="H48" s="3" t="n">
        <f aca="false">F48-G48</f>
        <v>0</v>
      </c>
      <c r="I48" s="3" t="n">
        <v>0</v>
      </c>
      <c r="J48" s="9" t="s">
        <v>87</v>
      </c>
    </row>
    <row r="49" customFormat="false" ht="15" hidden="false" customHeight="false" outlineLevel="0" collapsed="false">
      <c r="A49" s="2" t="s">
        <v>88</v>
      </c>
      <c r="B49" s="3" t="n">
        <v>555000</v>
      </c>
      <c r="C49" s="3" t="n">
        <v>100000</v>
      </c>
      <c r="D49" s="3" t="n">
        <f aca="false">B49-C49</f>
        <v>455000</v>
      </c>
      <c r="E49" s="6" t="str">
        <f aca="false">IF(D49=0,"완납",IF(D49&lt;0,"과납 — 확인 필요",IF(C49=0,"받은 기록 없음","일부 납부")))</f>
        <v>일부 납부</v>
      </c>
      <c r="F49" s="3" t="n">
        <v>301000</v>
      </c>
      <c r="G49" s="3" t="n">
        <v>0</v>
      </c>
      <c r="H49" s="3" t="n">
        <f aca="false">F49-G49</f>
        <v>301000</v>
      </c>
      <c r="I49" s="3" t="n">
        <v>445000</v>
      </c>
      <c r="J49" s="5" t="s">
        <v>21</v>
      </c>
    </row>
    <row r="50" customFormat="false" ht="15" hidden="false" customHeight="false" outlineLevel="0" collapsed="false">
      <c r="A50" s="2" t="s">
        <v>89</v>
      </c>
      <c r="B50" s="3" t="n">
        <v>281700</v>
      </c>
      <c r="C50" s="3" t="n">
        <v>70000</v>
      </c>
      <c r="D50" s="3" t="n">
        <f aca="false">B50-C50</f>
        <v>211700</v>
      </c>
      <c r="E50" s="6" t="str">
        <f aca="false">IF(D50=0,"완납",IF(D50&lt;0,"과납 — 확인 필요",IF(C50=0,"받은 기록 없음","일부 납부")))</f>
        <v>일부 납부</v>
      </c>
      <c r="F50" s="3" t="n">
        <v>211700</v>
      </c>
      <c r="G50" s="3" t="n">
        <v>0</v>
      </c>
      <c r="H50" s="3" t="n">
        <f aca="false">F50-G50</f>
        <v>211700</v>
      </c>
      <c r="I50" s="3" t="n">
        <v>201700</v>
      </c>
      <c r="J50" s="5" t="s">
        <v>90</v>
      </c>
    </row>
    <row r="51" customFormat="false" ht="15" hidden="false" customHeight="false" outlineLevel="0" collapsed="false">
      <c r="A51" s="2" t="s">
        <v>91</v>
      </c>
      <c r="B51" s="3" t="n">
        <v>231000</v>
      </c>
      <c r="C51" s="3" t="n">
        <v>285000</v>
      </c>
      <c r="D51" s="3" t="n">
        <f aca="false">B51-C51</f>
        <v>-54000</v>
      </c>
      <c r="E51" s="4" t="str">
        <f aca="false">IF(D51=0,"완납",IF(D51&lt;0,"과납 — 확인 필요",IF(C51=0,"받은 기록 없음","일부 납부")))</f>
        <v>과납 — 확인 필요</v>
      </c>
      <c r="F51" s="3" t="n">
        <v>191000</v>
      </c>
      <c r="G51" s="3" t="n">
        <v>191000</v>
      </c>
      <c r="H51" s="3" t="n">
        <f aca="false">F51-G51</f>
        <v>0</v>
      </c>
      <c r="I51" s="3" t="n">
        <v>0</v>
      </c>
      <c r="J51" s="9" t="s">
        <v>92</v>
      </c>
    </row>
    <row r="52" customFormat="false" ht="15" hidden="false" customHeight="false" outlineLevel="0" collapsed="false">
      <c r="A52" s="2" t="s">
        <v>93</v>
      </c>
      <c r="B52" s="3" t="n">
        <v>301000</v>
      </c>
      <c r="C52" s="3" t="n">
        <v>301000</v>
      </c>
      <c r="D52" s="3" t="n">
        <f aca="false">B52-C52</f>
        <v>0</v>
      </c>
      <c r="E52" s="8" t="str">
        <f aca="false">IF(D52=0,"완납",IF(D52&lt;0,"과납 — 확인 필요",IF(C52=0,"받은 기록 없음","일부 납부")))</f>
        <v>완납</v>
      </c>
      <c r="F52" s="3" t="n">
        <v>201000</v>
      </c>
      <c r="G52" s="3" t="n">
        <v>201000</v>
      </c>
      <c r="H52" s="3" t="n">
        <f aca="false">F52-G52</f>
        <v>0</v>
      </c>
      <c r="I52" s="3" t="n">
        <v>0</v>
      </c>
      <c r="J52" s="5" t="s">
        <v>94</v>
      </c>
    </row>
    <row r="53" customFormat="false" ht="15" hidden="false" customHeight="false" outlineLevel="0" collapsed="false">
      <c r="A53" s="2" t="s">
        <v>95</v>
      </c>
      <c r="B53" s="3" t="n">
        <v>170000</v>
      </c>
      <c r="C53" s="3" t="n">
        <v>0</v>
      </c>
      <c r="D53" s="3" t="n">
        <f aca="false">B53-C53</f>
        <v>170000</v>
      </c>
      <c r="E53" s="7" t="str">
        <f aca="false">IF(D53=0,"완납",IF(D53&lt;0,"과납 — 확인 필요",IF(C53=0,"받은 기록 없음","일부 납부")))</f>
        <v>받은 기록 없음</v>
      </c>
      <c r="F53" s="3" t="n">
        <v>170000</v>
      </c>
      <c r="G53" s="3" t="n">
        <v>0</v>
      </c>
      <c r="H53" s="3" t="n">
        <f aca="false">F53-G53</f>
        <v>170000</v>
      </c>
      <c r="I53" s="3" t="n">
        <v>2285000</v>
      </c>
      <c r="J53" s="5"/>
    </row>
    <row r="54" customFormat="false" ht="15" hidden="false" customHeight="false" outlineLevel="0" collapsed="false">
      <c r="A54" s="2" t="s">
        <v>96</v>
      </c>
      <c r="B54" s="3" t="n">
        <v>260000</v>
      </c>
      <c r="C54" s="3" t="n">
        <v>510000</v>
      </c>
      <c r="D54" s="3" t="n">
        <f aca="false">B54-C54</f>
        <v>-250000</v>
      </c>
      <c r="E54" s="4" t="str">
        <f aca="false">IF(D54=0,"완납",IF(D54&lt;0,"과납 — 확인 필요",IF(C54=0,"받은 기록 없음","일부 납부")))</f>
        <v>과납 — 확인 필요</v>
      </c>
      <c r="F54" s="3" t="n">
        <v>160000</v>
      </c>
      <c r="G54" s="3" t="n">
        <v>160000</v>
      </c>
      <c r="H54" s="3" t="n">
        <f aca="false">F54-G54</f>
        <v>0</v>
      </c>
      <c r="I54" s="3" t="n">
        <v>0</v>
      </c>
      <c r="J54" s="9" t="s">
        <v>97</v>
      </c>
    </row>
    <row r="55" customFormat="false" ht="15" hidden="false" customHeight="false" outlineLevel="0" collapsed="false">
      <c r="A55" s="2" t="s">
        <v>98</v>
      </c>
      <c r="B55" s="3" t="n">
        <v>336000</v>
      </c>
      <c r="C55" s="3" t="n">
        <v>336000</v>
      </c>
      <c r="D55" s="3" t="n">
        <f aca="false">B55-C55</f>
        <v>0</v>
      </c>
      <c r="E55" s="8" t="str">
        <f aca="false">IF(D55=0,"완납",IF(D55&lt;0,"과납 — 확인 필요",IF(C55=0,"받은 기록 없음","일부 납부")))</f>
        <v>완납</v>
      </c>
      <c r="F55" s="3" t="n">
        <v>191000</v>
      </c>
      <c r="G55" s="3" t="n">
        <v>191000</v>
      </c>
      <c r="H55" s="3" t="n">
        <f aca="false">F55-G55</f>
        <v>0</v>
      </c>
      <c r="I55" s="3" t="n">
        <v>0</v>
      </c>
      <c r="J55" s="5" t="s">
        <v>99</v>
      </c>
    </row>
    <row r="56" customFormat="false" ht="15" hidden="false" customHeight="false" outlineLevel="0" collapsed="false">
      <c r="A56" s="2" t="s">
        <v>100</v>
      </c>
      <c r="B56" s="3" t="n">
        <v>463000</v>
      </c>
      <c r="C56" s="3" t="n">
        <v>463000</v>
      </c>
      <c r="D56" s="3" t="n">
        <f aca="false">B56-C56</f>
        <v>0</v>
      </c>
      <c r="E56" s="8" t="str">
        <f aca="false">IF(D56=0,"완납",IF(D56&lt;0,"과납 — 확인 필요",IF(C56=0,"받은 기록 없음","일부 납부")))</f>
        <v>완납</v>
      </c>
      <c r="F56" s="3" t="n">
        <v>178000</v>
      </c>
      <c r="G56" s="3" t="n">
        <v>178000</v>
      </c>
      <c r="H56" s="3" t="n">
        <f aca="false">F56-G56</f>
        <v>0</v>
      </c>
      <c r="I56" s="3" t="n">
        <v>0</v>
      </c>
      <c r="J56" s="5" t="s">
        <v>101</v>
      </c>
    </row>
    <row r="57" customFormat="false" ht="15" hidden="false" customHeight="false" outlineLevel="0" collapsed="false">
      <c r="A57" s="2" t="s">
        <v>102</v>
      </c>
      <c r="B57" s="3" t="n">
        <v>256000</v>
      </c>
      <c r="C57" s="3" t="n">
        <v>45000</v>
      </c>
      <c r="D57" s="3" t="n">
        <f aca="false">B57-C57</f>
        <v>211000</v>
      </c>
      <c r="E57" s="6" t="str">
        <f aca="false">IF(D57=0,"완납",IF(D57&lt;0,"과납 — 확인 필요",IF(C57=0,"받은 기록 없음","일부 납부")))</f>
        <v>일부 납부</v>
      </c>
      <c r="F57" s="3" t="n">
        <v>211000</v>
      </c>
      <c r="G57" s="3" t="n">
        <v>0</v>
      </c>
      <c r="H57" s="3" t="n">
        <f aca="false">F57-G57</f>
        <v>211000</v>
      </c>
      <c r="I57" s="3" t="n">
        <v>201000</v>
      </c>
      <c r="J57" s="5" t="s">
        <v>103</v>
      </c>
    </row>
    <row r="58" customFormat="false" ht="15" hidden="false" customHeight="false" outlineLevel="0" collapsed="false">
      <c r="A58" s="2" t="s">
        <v>104</v>
      </c>
      <c r="B58" s="3" t="n">
        <v>311700</v>
      </c>
      <c r="C58" s="3" t="n">
        <v>0</v>
      </c>
      <c r="D58" s="3" t="n">
        <f aca="false">B58-C58</f>
        <v>311700</v>
      </c>
      <c r="E58" s="7" t="str">
        <f aca="false">IF(D58=0,"완납",IF(D58&lt;0,"과납 — 확인 필요",IF(C58=0,"받은 기록 없음","일부 납부")))</f>
        <v>받은 기록 없음</v>
      </c>
      <c r="F58" s="3" t="n">
        <v>211700</v>
      </c>
      <c r="G58" s="3" t="n">
        <v>0</v>
      </c>
      <c r="H58" s="3" t="n">
        <f aca="false">F58-G58</f>
        <v>211700</v>
      </c>
      <c r="I58" s="3" t="n">
        <v>2465900</v>
      </c>
      <c r="J58" s="5"/>
    </row>
    <row r="59" customFormat="false" ht="15" hidden="false" customHeight="false" outlineLevel="0" collapsed="false">
      <c r="A59" s="2" t="s">
        <v>105</v>
      </c>
      <c r="B59" s="3" t="n">
        <v>211000</v>
      </c>
      <c r="C59" s="3" t="n">
        <v>0</v>
      </c>
      <c r="D59" s="3" t="n">
        <f aca="false">B59-C59</f>
        <v>211000</v>
      </c>
      <c r="E59" s="7" t="str">
        <f aca="false">IF(D59=0,"완납",IF(D59&lt;0,"과납 — 확인 필요",IF(C59=0,"받은 기록 없음","일부 납부")))</f>
        <v>받은 기록 없음</v>
      </c>
      <c r="F59" s="3" t="n">
        <v>211000</v>
      </c>
      <c r="G59" s="3" t="n">
        <v>0</v>
      </c>
      <c r="H59" s="3" t="n">
        <f aca="false">F59-G59</f>
        <v>211000</v>
      </c>
      <c r="I59" s="3" t="n">
        <v>217000</v>
      </c>
      <c r="J59" s="5"/>
    </row>
    <row r="60" customFormat="false" ht="15" hidden="false" customHeight="false" outlineLevel="0" collapsed="false">
      <c r="A60" s="2" t="s">
        <v>106</v>
      </c>
      <c r="B60" s="3" t="n">
        <v>266000</v>
      </c>
      <c r="C60" s="3" t="n">
        <v>341000</v>
      </c>
      <c r="D60" s="3" t="n">
        <f aca="false">B60-C60</f>
        <v>-75000</v>
      </c>
      <c r="E60" s="4" t="str">
        <f aca="false">IF(D60=0,"완납",IF(D60&lt;0,"과납 — 확인 필요",IF(C60=0,"받은 기록 없음","일부 납부")))</f>
        <v>과납 — 확인 필요</v>
      </c>
      <c r="F60" s="3" t="n">
        <v>191000</v>
      </c>
      <c r="G60" s="3" t="n">
        <v>191000</v>
      </c>
      <c r="H60" s="3" t="n">
        <f aca="false">F60-G60</f>
        <v>0</v>
      </c>
      <c r="I60" s="3" t="n">
        <v>0</v>
      </c>
      <c r="J60" s="9" t="s">
        <v>107</v>
      </c>
    </row>
    <row r="61" customFormat="false" ht="15" hidden="false" customHeight="false" outlineLevel="0" collapsed="false">
      <c r="A61" s="2" t="s">
        <v>108</v>
      </c>
      <c r="B61" s="3" t="n">
        <v>191000</v>
      </c>
      <c r="C61" s="3" t="n">
        <v>191000</v>
      </c>
      <c r="D61" s="3" t="n">
        <f aca="false">B61-C61</f>
        <v>0</v>
      </c>
      <c r="E61" s="8" t="str">
        <f aca="false">IF(D61=0,"완납",IF(D61&lt;0,"과납 — 확인 필요",IF(C61=0,"받은 기록 없음","일부 납부")))</f>
        <v>완납</v>
      </c>
      <c r="F61" s="3" t="n">
        <v>191000</v>
      </c>
      <c r="G61" s="3" t="n">
        <v>191000</v>
      </c>
      <c r="H61" s="3" t="n">
        <f aca="false">F61-G61</f>
        <v>0</v>
      </c>
      <c r="I61" s="3" t="n">
        <v>0</v>
      </c>
      <c r="J61" s="5" t="s">
        <v>33</v>
      </c>
    </row>
    <row r="62" customFormat="false" ht="15" hidden="false" customHeight="false" outlineLevel="0" collapsed="false">
      <c r="A62" s="2" t="s">
        <v>109</v>
      </c>
      <c r="B62" s="3" t="n">
        <v>291000</v>
      </c>
      <c r="C62" s="3" t="n">
        <v>291000</v>
      </c>
      <c r="D62" s="3" t="n">
        <f aca="false">B62-C62</f>
        <v>0</v>
      </c>
      <c r="E62" s="8" t="str">
        <f aca="false">IF(D62=0,"완납",IF(D62&lt;0,"과납 — 확인 필요",IF(C62=0,"받은 기록 없음","일부 납부")))</f>
        <v>완납</v>
      </c>
      <c r="F62" s="3" t="n">
        <v>191000</v>
      </c>
      <c r="G62" s="3" t="n">
        <v>191000</v>
      </c>
      <c r="H62" s="3" t="n">
        <f aca="false">F62-G62</f>
        <v>0</v>
      </c>
      <c r="I62" s="3" t="n">
        <v>981000</v>
      </c>
      <c r="J62" s="5" t="s">
        <v>110</v>
      </c>
    </row>
    <row r="63" customFormat="false" ht="15" hidden="false" customHeight="false" outlineLevel="0" collapsed="false">
      <c r="A63" s="2" t="s">
        <v>111</v>
      </c>
      <c r="B63" s="3" t="n">
        <v>301700</v>
      </c>
      <c r="C63" s="3" t="n">
        <v>1600000</v>
      </c>
      <c r="D63" s="3" t="n">
        <f aca="false">B63-C63</f>
        <v>-1298300</v>
      </c>
      <c r="E63" s="4" t="str">
        <f aca="false">IF(D63=0,"완납",IF(D63&lt;0,"과납 — 확인 필요",IF(C63=0,"받은 기록 없음","일부 납부")))</f>
        <v>과납 — 확인 필요</v>
      </c>
      <c r="F63" s="3" t="n">
        <v>201700</v>
      </c>
      <c r="G63" s="3" t="n">
        <v>0</v>
      </c>
      <c r="H63" s="3" t="n">
        <f aca="false">F63-G63</f>
        <v>201700</v>
      </c>
      <c r="I63" s="3" t="n">
        <v>201700</v>
      </c>
      <c r="J63" s="9" t="s">
        <v>112</v>
      </c>
    </row>
    <row r="64" customFormat="false" ht="15" hidden="false" customHeight="false" outlineLevel="0" collapsed="false">
      <c r="A64" s="2" t="s">
        <v>113</v>
      </c>
      <c r="B64" s="3" t="n">
        <v>191200</v>
      </c>
      <c r="C64" s="3" t="n">
        <v>0</v>
      </c>
      <c r="D64" s="3" t="n">
        <f aca="false">B64-C64</f>
        <v>191200</v>
      </c>
      <c r="E64" s="7" t="str">
        <f aca="false">IF(D64=0,"완납",IF(D64&lt;0,"과납 — 확인 필요",IF(C64=0,"받은 기록 없음","일부 납부")))</f>
        <v>받은 기록 없음</v>
      </c>
      <c r="F64" s="3" t="n">
        <v>191200</v>
      </c>
      <c r="G64" s="3" t="n">
        <v>0</v>
      </c>
      <c r="H64" s="3" t="n">
        <f aca="false">F64-G64</f>
        <v>191200</v>
      </c>
      <c r="I64" s="3" t="n">
        <v>9926200</v>
      </c>
      <c r="J64" s="5"/>
    </row>
    <row r="65" customFormat="false" ht="15" hidden="false" customHeight="false" outlineLevel="0" collapsed="false">
      <c r="A65" s="2" t="s">
        <v>114</v>
      </c>
      <c r="B65" s="3" t="n">
        <v>248000</v>
      </c>
      <c r="C65" s="3" t="n">
        <v>75000</v>
      </c>
      <c r="D65" s="3" t="n">
        <f aca="false">B65-C65</f>
        <v>173000</v>
      </c>
      <c r="E65" s="6" t="str">
        <f aca="false">IF(D65=0,"완납",IF(D65&lt;0,"과납 — 확인 필요",IF(C65=0,"받은 기록 없음","일부 납부")))</f>
        <v>일부 납부</v>
      </c>
      <c r="F65" s="3" t="n">
        <v>173000</v>
      </c>
      <c r="G65" s="3" t="n">
        <v>0</v>
      </c>
      <c r="H65" s="3" t="n">
        <f aca="false">F65-G65</f>
        <v>173000</v>
      </c>
      <c r="I65" s="3" t="n">
        <v>173000</v>
      </c>
      <c r="J65" s="5" t="s">
        <v>115</v>
      </c>
    </row>
    <row r="66" customFormat="false" ht="15" hidden="false" customHeight="false" outlineLevel="0" collapsed="false">
      <c r="A66" s="2" t="s">
        <v>116</v>
      </c>
      <c r="B66" s="3" t="n">
        <v>223700</v>
      </c>
      <c r="C66" s="3" t="n">
        <v>473000</v>
      </c>
      <c r="D66" s="3" t="n">
        <f aca="false">B66-C66</f>
        <v>-249300</v>
      </c>
      <c r="E66" s="4" t="str">
        <f aca="false">IF(D66=0,"완납",IF(D66&lt;0,"과납 — 확인 필요",IF(C66=0,"받은 기록 없음","일부 납부")))</f>
        <v>과납 — 확인 필요</v>
      </c>
      <c r="F66" s="3" t="n">
        <v>183700</v>
      </c>
      <c r="G66" s="3" t="n">
        <v>183000</v>
      </c>
      <c r="H66" s="3" t="n">
        <f aca="false">F66-G66</f>
        <v>700</v>
      </c>
      <c r="I66" s="3" t="n">
        <v>0</v>
      </c>
      <c r="J66" s="9" t="s">
        <v>117</v>
      </c>
    </row>
    <row r="67" customFormat="false" ht="15" hidden="false" customHeight="false" outlineLevel="0" collapsed="false">
      <c r="A67" s="2" t="s">
        <v>118</v>
      </c>
      <c r="B67" s="3" t="n">
        <v>401700</v>
      </c>
      <c r="C67" s="3" t="n">
        <v>275000</v>
      </c>
      <c r="D67" s="3" t="n">
        <f aca="false">B67-C67</f>
        <v>126700</v>
      </c>
      <c r="E67" s="6" t="str">
        <f aca="false">IF(D67=0,"완납",IF(D67&lt;0,"과납 — 확인 필요",IF(C67=0,"받은 기록 없음","일부 납부")))</f>
        <v>일부 납부</v>
      </c>
      <c r="F67" s="3" t="n">
        <v>201700</v>
      </c>
      <c r="G67" s="3" t="n">
        <v>0</v>
      </c>
      <c r="H67" s="3" t="n">
        <f aca="false">F67-G67</f>
        <v>201700</v>
      </c>
      <c r="I67" s="3" t="n">
        <v>201700</v>
      </c>
      <c r="J67" s="9" t="s">
        <v>119</v>
      </c>
    </row>
    <row r="68" customFormat="false" ht="15" hidden="false" customHeight="false" outlineLevel="0" collapsed="false">
      <c r="A68" s="2" t="s">
        <v>120</v>
      </c>
      <c r="B68" s="3" t="n">
        <v>211700</v>
      </c>
      <c r="C68" s="3" t="n">
        <v>0</v>
      </c>
      <c r="D68" s="3" t="n">
        <f aca="false">B68-C68</f>
        <v>211700</v>
      </c>
      <c r="E68" s="7" t="str">
        <f aca="false">IF(D68=0,"완납",IF(D68&lt;0,"과납 — 확인 필요",IF(C68=0,"받은 기록 없음","일부 납부")))</f>
        <v>받은 기록 없음</v>
      </c>
      <c r="F68" s="3" t="n">
        <v>211700</v>
      </c>
      <c r="G68" s="3" t="n">
        <v>0</v>
      </c>
      <c r="H68" s="3" t="n">
        <f aca="false">F68-G68</f>
        <v>211700</v>
      </c>
      <c r="I68" s="3" t="n">
        <v>345700</v>
      </c>
      <c r="J68" s="5"/>
    </row>
    <row r="69" customFormat="false" ht="15" hidden="false" customHeight="false" outlineLevel="0" collapsed="false">
      <c r="A69" s="2" t="s">
        <v>121</v>
      </c>
      <c r="B69" s="3" t="n">
        <v>191200</v>
      </c>
      <c r="C69" s="3" t="n">
        <v>0</v>
      </c>
      <c r="D69" s="3" t="n">
        <f aca="false">B69-C69</f>
        <v>191200</v>
      </c>
      <c r="E69" s="7" t="str">
        <f aca="false">IF(D69=0,"완납",IF(D69&lt;0,"과납 — 확인 필요",IF(C69=0,"받은 기록 없음","일부 납부")))</f>
        <v>받은 기록 없음</v>
      </c>
      <c r="F69" s="3" t="n">
        <v>191200</v>
      </c>
      <c r="G69" s="3" t="n">
        <v>0</v>
      </c>
      <c r="H69" s="3" t="n">
        <f aca="false">F69-G69</f>
        <v>191200</v>
      </c>
      <c r="I69" s="3" t="n">
        <v>191000</v>
      </c>
      <c r="J69" s="5"/>
    </row>
    <row r="70" customFormat="false" ht="15" hidden="false" customHeight="false" outlineLevel="0" collapsed="false">
      <c r="A70" s="2" t="s">
        <v>122</v>
      </c>
      <c r="B70" s="3" t="n">
        <v>191000</v>
      </c>
      <c r="C70" s="3" t="n">
        <v>0</v>
      </c>
      <c r="D70" s="3" t="n">
        <f aca="false">B70-C70</f>
        <v>191000</v>
      </c>
      <c r="E70" s="7" t="str">
        <f aca="false">IF(D70=0,"완납",IF(D70&lt;0,"과납 — 확인 필요",IF(C70=0,"받은 기록 없음","일부 납부")))</f>
        <v>받은 기록 없음</v>
      </c>
      <c r="F70" s="3" t="n">
        <v>191000</v>
      </c>
      <c r="G70" s="3" t="n">
        <v>0</v>
      </c>
      <c r="H70" s="3" t="n">
        <f aca="false">F70-G70</f>
        <v>191000</v>
      </c>
      <c r="I70" s="3" t="n">
        <v>11001000</v>
      </c>
      <c r="J70" s="5"/>
    </row>
    <row r="71" customFormat="false" ht="15" hidden="false" customHeight="false" outlineLevel="0" collapsed="false">
      <c r="A71" s="2" t="s">
        <v>123</v>
      </c>
      <c r="B71" s="3" t="n">
        <v>176000</v>
      </c>
      <c r="C71" s="3" t="n">
        <v>160000</v>
      </c>
      <c r="D71" s="3" t="n">
        <f aca="false">B71-C71</f>
        <v>16000</v>
      </c>
      <c r="E71" s="6" t="str">
        <f aca="false">IF(D71=0,"완납",IF(D71&lt;0,"과납 — 확인 필요",IF(C71=0,"받은 기록 없음","일부 납부")))</f>
        <v>일부 납부</v>
      </c>
      <c r="F71" s="3" t="n">
        <v>176000</v>
      </c>
      <c r="G71" s="3" t="n">
        <v>160000</v>
      </c>
      <c r="H71" s="3" t="n">
        <f aca="false">F71-G71</f>
        <v>16000</v>
      </c>
      <c r="I71" s="3" t="n">
        <v>0</v>
      </c>
      <c r="J71" s="5" t="s">
        <v>124</v>
      </c>
    </row>
    <row r="72" customFormat="false" ht="15" hidden="false" customHeight="false" outlineLevel="0" collapsed="false">
      <c r="A72" s="2" t="s">
        <v>125</v>
      </c>
      <c r="B72" s="3" t="n">
        <v>170000</v>
      </c>
      <c r="C72" s="3" t="n">
        <v>170000</v>
      </c>
      <c r="D72" s="3" t="n">
        <f aca="false">B72-C72</f>
        <v>0</v>
      </c>
      <c r="E72" s="8" t="str">
        <f aca="false">IF(D72=0,"완납",IF(D72&lt;0,"과납 — 확인 필요",IF(C72=0,"받은 기록 없음","일부 납부")))</f>
        <v>완납</v>
      </c>
      <c r="F72" s="3" t="n">
        <v>170000</v>
      </c>
      <c r="G72" s="3" t="n">
        <v>170000</v>
      </c>
      <c r="H72" s="3" t="n">
        <f aca="false">F72-G72</f>
        <v>0</v>
      </c>
      <c r="I72" s="3" t="n">
        <v>0</v>
      </c>
      <c r="J72" s="5" t="s">
        <v>126</v>
      </c>
    </row>
    <row r="73" customFormat="false" ht="15" hidden="false" customHeight="false" outlineLevel="0" collapsed="false">
      <c r="A73" s="2" t="s">
        <v>127</v>
      </c>
      <c r="B73" s="3" t="n">
        <v>201700</v>
      </c>
      <c r="C73" s="3" t="n">
        <v>0</v>
      </c>
      <c r="D73" s="3" t="n">
        <f aca="false">B73-C73</f>
        <v>201700</v>
      </c>
      <c r="E73" s="7" t="str">
        <f aca="false">IF(D73=0,"완납",IF(D73&lt;0,"과납 — 확인 필요",IF(C73=0,"받은 기록 없음","일부 납부")))</f>
        <v>받은 기록 없음</v>
      </c>
      <c r="F73" s="3" t="n">
        <v>201700</v>
      </c>
      <c r="G73" s="3" t="n">
        <v>0</v>
      </c>
      <c r="H73" s="3" t="n">
        <f aca="false">F73-G73</f>
        <v>201700</v>
      </c>
      <c r="I73" s="3" t="n">
        <v>201700</v>
      </c>
      <c r="J73" s="5"/>
    </row>
    <row r="74" customFormat="false" ht="15" hidden="false" customHeight="false" outlineLevel="0" collapsed="false">
      <c r="A74" s="2" t="s">
        <v>128</v>
      </c>
      <c r="B74" s="3" t="n">
        <v>310000</v>
      </c>
      <c r="C74" s="3" t="n">
        <v>140000</v>
      </c>
      <c r="D74" s="3" t="n">
        <f aca="false">B74-C74</f>
        <v>170000</v>
      </c>
      <c r="E74" s="6" t="str">
        <f aca="false">IF(D74=0,"완납",IF(D74&lt;0,"과납 — 확인 필요",IF(C74=0,"받은 기록 없음","일부 납부")))</f>
        <v>일부 납부</v>
      </c>
      <c r="F74" s="3" t="n">
        <v>170000</v>
      </c>
      <c r="G74" s="3" t="n">
        <v>0</v>
      </c>
      <c r="H74" s="3" t="n">
        <f aca="false">F74-G74</f>
        <v>170000</v>
      </c>
      <c r="I74" s="3" t="n">
        <v>170000</v>
      </c>
      <c r="J74" s="5" t="s">
        <v>129</v>
      </c>
    </row>
    <row r="75" customFormat="false" ht="15" hidden="false" customHeight="false" outlineLevel="0" collapsed="false">
      <c r="A75" s="2" t="s">
        <v>130</v>
      </c>
      <c r="B75" s="3" t="n">
        <v>160000</v>
      </c>
      <c r="C75" s="3" t="n">
        <v>160000</v>
      </c>
      <c r="D75" s="3" t="n">
        <f aca="false">B75-C75</f>
        <v>0</v>
      </c>
      <c r="E75" s="8" t="str">
        <f aca="false">IF(D75=0,"완납",IF(D75&lt;0,"과납 — 확인 필요",IF(C75=0,"받은 기록 없음","일부 납부")))</f>
        <v>완납</v>
      </c>
      <c r="F75" s="3" t="n">
        <v>160000</v>
      </c>
      <c r="G75" s="3" t="n">
        <v>160000</v>
      </c>
      <c r="H75" s="3" t="n">
        <f aca="false">F75-G75</f>
        <v>0</v>
      </c>
      <c r="I75" s="3" t="n">
        <v>0</v>
      </c>
      <c r="J75" s="5" t="s">
        <v>131</v>
      </c>
    </row>
    <row r="76" customFormat="false" ht="15" hidden="false" customHeight="false" outlineLevel="0" collapsed="false">
      <c r="A76" s="2" t="s">
        <v>132</v>
      </c>
      <c r="B76" s="3" t="n">
        <v>270000</v>
      </c>
      <c r="C76" s="3" t="n">
        <v>270000</v>
      </c>
      <c r="D76" s="3" t="n">
        <f aca="false">B76-C76</f>
        <v>0</v>
      </c>
      <c r="E76" s="8" t="str">
        <f aca="false">IF(D76=0,"완납",IF(D76&lt;0,"과납 — 확인 필요",IF(C76=0,"받은 기록 없음","일부 납부")))</f>
        <v>완납</v>
      </c>
      <c r="F76" s="3" t="n">
        <v>170000</v>
      </c>
      <c r="G76" s="3" t="n">
        <v>170000</v>
      </c>
      <c r="H76" s="3" t="n">
        <f aca="false">F76-G76</f>
        <v>0</v>
      </c>
      <c r="I76" s="3" t="n">
        <v>170000</v>
      </c>
      <c r="J76" s="5" t="s">
        <v>54</v>
      </c>
    </row>
    <row r="77" customFormat="false" ht="15" hidden="false" customHeight="false" outlineLevel="0" collapsed="false">
      <c r="A77" s="2" t="s">
        <v>133</v>
      </c>
      <c r="B77" s="3" t="n">
        <v>280000</v>
      </c>
      <c r="C77" s="3" t="n">
        <v>100000</v>
      </c>
      <c r="D77" s="3" t="n">
        <f aca="false">B77-C77</f>
        <v>180000</v>
      </c>
      <c r="E77" s="6" t="str">
        <f aca="false">IF(D77=0,"완납",IF(D77&lt;0,"과납 — 확인 필요",IF(C77=0,"받은 기록 없음","일부 납부")))</f>
        <v>일부 납부</v>
      </c>
      <c r="F77" s="3" t="n">
        <v>180000</v>
      </c>
      <c r="G77" s="3" t="n">
        <v>0</v>
      </c>
      <c r="H77" s="3" t="n">
        <f aca="false">F77-G77</f>
        <v>180000</v>
      </c>
      <c r="I77" s="3" t="n">
        <v>0</v>
      </c>
      <c r="J77" s="5" t="s">
        <v>134</v>
      </c>
    </row>
    <row r="78" customFormat="false" ht="15" hidden="false" customHeight="false" outlineLevel="0" collapsed="false">
      <c r="A78" s="2" t="s">
        <v>135</v>
      </c>
      <c r="B78" s="3" t="n">
        <v>511000</v>
      </c>
      <c r="C78" s="3" t="n">
        <v>0</v>
      </c>
      <c r="D78" s="3" t="n">
        <f aca="false">B78-C78</f>
        <v>511000</v>
      </c>
      <c r="E78" s="7" t="str">
        <f aca="false">IF(D78=0,"완납",IF(D78&lt;0,"과납 — 확인 필요",IF(C78=0,"받은 기록 없음","일부 납부")))</f>
        <v>받은 기록 없음</v>
      </c>
      <c r="F78" s="3" t="n">
        <v>191000</v>
      </c>
      <c r="G78" s="3" t="n">
        <v>0</v>
      </c>
      <c r="H78" s="3" t="n">
        <f aca="false">F78-G78</f>
        <v>191000</v>
      </c>
      <c r="I78" s="3" t="n">
        <v>410000</v>
      </c>
      <c r="J78" s="5"/>
    </row>
    <row r="79" customFormat="false" ht="15" hidden="false" customHeight="false" outlineLevel="0" collapsed="false">
      <c r="A79" s="2" t="s">
        <v>136</v>
      </c>
      <c r="B79" s="3" t="n">
        <v>291000</v>
      </c>
      <c r="C79" s="3" t="n">
        <v>291000</v>
      </c>
      <c r="D79" s="3" t="n">
        <f aca="false">B79-C79</f>
        <v>0</v>
      </c>
      <c r="E79" s="8" t="str">
        <f aca="false">IF(D79=0,"완납",IF(D79&lt;0,"과납 — 확인 필요",IF(C79=0,"받은 기록 없음","일부 납부")))</f>
        <v>완납</v>
      </c>
      <c r="F79" s="3" t="n">
        <v>191000</v>
      </c>
      <c r="G79" s="3" t="n">
        <v>191000</v>
      </c>
      <c r="H79" s="3" t="n">
        <f aca="false">F79-G79</f>
        <v>0</v>
      </c>
      <c r="I79" s="3" t="n">
        <v>325000</v>
      </c>
      <c r="J79" s="5" t="s">
        <v>137</v>
      </c>
    </row>
    <row r="80" customFormat="false" ht="15" hidden="false" customHeight="false" outlineLevel="0" collapsed="false">
      <c r="A80" s="2" t="s">
        <v>138</v>
      </c>
      <c r="B80" s="3" t="n">
        <v>201700</v>
      </c>
      <c r="C80" s="3" t="n">
        <v>0</v>
      </c>
      <c r="D80" s="3" t="n">
        <f aca="false">B80-C80</f>
        <v>201700</v>
      </c>
      <c r="E80" s="7" t="str">
        <f aca="false">IF(D80=0,"완납",IF(D80&lt;0,"과납 — 확인 필요",IF(C80=0,"받은 기록 없음","일부 납부")))</f>
        <v>받은 기록 없음</v>
      </c>
      <c r="F80" s="3" t="n">
        <v>201700</v>
      </c>
      <c r="G80" s="3" t="n">
        <v>0</v>
      </c>
      <c r="H80" s="3" t="n">
        <f aca="false">F80-G80</f>
        <v>201700</v>
      </c>
      <c r="I80" s="3" t="n">
        <v>201700</v>
      </c>
      <c r="J80" s="5"/>
    </row>
    <row r="81" customFormat="false" ht="15" hidden="false" customHeight="false" outlineLevel="0" collapsed="false">
      <c r="A81" s="2" t="s">
        <v>139</v>
      </c>
      <c r="B81" s="3" t="n">
        <v>296700</v>
      </c>
      <c r="C81" s="3" t="n">
        <v>0</v>
      </c>
      <c r="D81" s="3" t="n">
        <f aca="false">B81-C81</f>
        <v>296700</v>
      </c>
      <c r="E81" s="7" t="str">
        <f aca="false">IF(D81=0,"완납",IF(D81&lt;0,"과납 — 확인 필요",IF(C81=0,"받은 기록 없음","일부 납부")))</f>
        <v>받은 기록 없음</v>
      </c>
      <c r="F81" s="3" t="n">
        <v>211700</v>
      </c>
      <c r="G81" s="3" t="n">
        <v>0</v>
      </c>
      <c r="H81" s="3" t="n">
        <f aca="false">F81-G81</f>
        <v>211700</v>
      </c>
      <c r="I81" s="3" t="n">
        <v>211700</v>
      </c>
      <c r="J81" s="5"/>
    </row>
    <row r="82" customFormat="false" ht="15" hidden="false" customHeight="false" outlineLevel="0" collapsed="false">
      <c r="A82" s="2" t="s">
        <v>140</v>
      </c>
      <c r="B82" s="3" t="n">
        <v>245000</v>
      </c>
      <c r="C82" s="3" t="n">
        <v>245000</v>
      </c>
      <c r="D82" s="3" t="n">
        <f aca="false">B82-C82</f>
        <v>0</v>
      </c>
      <c r="E82" s="8" t="str">
        <f aca="false">IF(D82=0,"완납",IF(D82&lt;0,"과납 — 확인 필요",IF(C82=0,"받은 기록 없음","일부 납부")))</f>
        <v>완납</v>
      </c>
      <c r="F82" s="3" t="n">
        <v>170000</v>
      </c>
      <c r="G82" s="3" t="n">
        <v>170000</v>
      </c>
      <c r="H82" s="3" t="n">
        <f aca="false">F82-G82</f>
        <v>0</v>
      </c>
      <c r="I82" s="3" t="n">
        <v>0</v>
      </c>
      <c r="J82" s="5" t="s">
        <v>141</v>
      </c>
    </row>
    <row r="83" customFormat="false" ht="15" hidden="false" customHeight="false" outlineLevel="0" collapsed="false">
      <c r="A83" s="2" t="s">
        <v>142</v>
      </c>
      <c r="B83" s="3" t="n">
        <v>211700</v>
      </c>
      <c r="C83" s="3" t="n">
        <v>201700</v>
      </c>
      <c r="D83" s="3" t="n">
        <f aca="false">B83-C83</f>
        <v>10000</v>
      </c>
      <c r="E83" s="6" t="str">
        <f aca="false">IF(D83=0,"완납",IF(D83&lt;0,"과납 — 확인 필요",IF(C83=0,"받은 기록 없음","일부 납부")))</f>
        <v>일부 납부</v>
      </c>
      <c r="F83" s="3" t="n">
        <v>211700</v>
      </c>
      <c r="G83" s="3" t="n">
        <v>201700</v>
      </c>
      <c r="H83" s="3" t="n">
        <f aca="false">F83-G83</f>
        <v>10000</v>
      </c>
      <c r="I83" s="3" t="n">
        <v>0</v>
      </c>
      <c r="J83" s="5" t="s">
        <v>143</v>
      </c>
    </row>
    <row r="84" customFormat="false" ht="15" hidden="false" customHeight="false" outlineLevel="0" collapsed="false">
      <c r="A84" s="2" t="s">
        <v>144</v>
      </c>
      <c r="B84" s="3" t="n">
        <v>201700</v>
      </c>
      <c r="C84" s="3" t="n">
        <v>0</v>
      </c>
      <c r="D84" s="3" t="n">
        <f aca="false">B84-C84</f>
        <v>201700</v>
      </c>
      <c r="E84" s="7" t="str">
        <f aca="false">IF(D84=0,"완납",IF(D84&lt;0,"과납 — 확인 필요",IF(C84=0,"받은 기록 없음","일부 납부")))</f>
        <v>받은 기록 없음</v>
      </c>
      <c r="F84" s="3" t="n">
        <v>201700</v>
      </c>
      <c r="G84" s="3" t="n">
        <v>0</v>
      </c>
      <c r="H84" s="3" t="n">
        <f aca="false">F84-G84</f>
        <v>201700</v>
      </c>
      <c r="I84" s="3" t="n">
        <v>201700</v>
      </c>
      <c r="J84" s="5"/>
    </row>
    <row r="85" customFormat="false" ht="15" hidden="false" customHeight="false" outlineLevel="0" collapsed="false">
      <c r="A85" s="2" t="s">
        <v>145</v>
      </c>
      <c r="B85" s="3" t="n">
        <v>270000</v>
      </c>
      <c r="C85" s="3" t="n">
        <v>100000</v>
      </c>
      <c r="D85" s="3" t="n">
        <f aca="false">B85-C85</f>
        <v>170000</v>
      </c>
      <c r="E85" s="6" t="str">
        <f aca="false">IF(D85=0,"완납",IF(D85&lt;0,"과납 — 확인 필요",IF(C85=0,"받은 기록 없음","일부 납부")))</f>
        <v>일부 납부</v>
      </c>
      <c r="F85" s="3" t="n">
        <v>170000</v>
      </c>
      <c r="G85" s="3" t="n">
        <v>0</v>
      </c>
      <c r="H85" s="3" t="n">
        <f aca="false">F85-G85</f>
        <v>170000</v>
      </c>
      <c r="I85" s="3" t="n">
        <v>0</v>
      </c>
      <c r="J85" s="5" t="s">
        <v>146</v>
      </c>
    </row>
    <row r="86" customFormat="false" ht="15" hidden="false" customHeight="false" outlineLevel="0" collapsed="false">
      <c r="A86" s="2" t="s">
        <v>147</v>
      </c>
      <c r="B86" s="3" t="n">
        <v>160000</v>
      </c>
      <c r="C86" s="3" t="n">
        <v>147000</v>
      </c>
      <c r="D86" s="3" t="n">
        <f aca="false">B86-C86</f>
        <v>13000</v>
      </c>
      <c r="E86" s="6" t="str">
        <f aca="false">IF(D86=0,"완납",IF(D86&lt;0,"과납 — 확인 필요",IF(C86=0,"받은 기록 없음","일부 납부")))</f>
        <v>일부 납부</v>
      </c>
      <c r="F86" s="3" t="n">
        <v>160000</v>
      </c>
      <c r="G86" s="3" t="n">
        <v>147000</v>
      </c>
      <c r="H86" s="3" t="n">
        <f aca="false">F86-G86</f>
        <v>13000</v>
      </c>
      <c r="I86" s="3" t="n">
        <v>0</v>
      </c>
      <c r="J86" s="5" t="s">
        <v>148</v>
      </c>
    </row>
    <row r="87" customFormat="false" ht="15" hidden="false" customHeight="false" outlineLevel="0" collapsed="false">
      <c r="A87" s="2" t="s">
        <v>149</v>
      </c>
      <c r="B87" s="3" t="n">
        <v>401000</v>
      </c>
      <c r="C87" s="3" t="n">
        <v>0</v>
      </c>
      <c r="D87" s="3" t="n">
        <f aca="false">B87-C87</f>
        <v>401000</v>
      </c>
      <c r="E87" s="7" t="str">
        <f aca="false">IF(D87=0,"완납",IF(D87&lt;0,"과납 — 확인 필요",IF(C87=0,"받은 기록 없음","일부 납부")))</f>
        <v>받은 기록 없음</v>
      </c>
      <c r="F87" s="3" t="n">
        <v>301000</v>
      </c>
      <c r="G87" s="3" t="n">
        <v>0</v>
      </c>
      <c r="H87" s="3" t="n">
        <f aca="false">F87-G87</f>
        <v>301000</v>
      </c>
      <c r="I87" s="3" t="n">
        <v>692000</v>
      </c>
      <c r="J87" s="5"/>
    </row>
    <row r="88" customFormat="false" ht="15" hidden="false" customHeight="false" outlineLevel="0" collapsed="false">
      <c r="A88" s="2" t="s">
        <v>150</v>
      </c>
      <c r="B88" s="3" t="n">
        <v>286000</v>
      </c>
      <c r="C88" s="3" t="n">
        <v>276000</v>
      </c>
      <c r="D88" s="3" t="n">
        <f aca="false">B88-C88</f>
        <v>10000</v>
      </c>
      <c r="E88" s="6" t="str">
        <f aca="false">IF(D88=0,"완납",IF(D88&lt;0,"과납 — 확인 필요",IF(C88=0,"받은 기록 없음","일부 납부")))</f>
        <v>일부 납부</v>
      </c>
      <c r="F88" s="3" t="n">
        <v>211000</v>
      </c>
      <c r="G88" s="3" t="n">
        <v>201000</v>
      </c>
      <c r="H88" s="3" t="n">
        <f aca="false">F88-G88</f>
        <v>10000</v>
      </c>
      <c r="I88" s="3" t="n">
        <v>1881500</v>
      </c>
      <c r="J88" s="5" t="s">
        <v>151</v>
      </c>
    </row>
    <row r="89" customFormat="false" ht="15" hidden="false" customHeight="false" outlineLevel="0" collapsed="false">
      <c r="A89" s="2" t="s">
        <v>152</v>
      </c>
      <c r="B89" s="3" t="n">
        <v>371700</v>
      </c>
      <c r="C89" s="3" t="n">
        <v>0</v>
      </c>
      <c r="D89" s="3" t="n">
        <f aca="false">B89-C89</f>
        <v>371700</v>
      </c>
      <c r="E89" s="7" t="str">
        <f aca="false">IF(D89=0,"완납",IF(D89&lt;0,"과납 — 확인 필요",IF(C89=0,"받은 기록 없음","일부 납부")))</f>
        <v>받은 기록 없음</v>
      </c>
      <c r="F89" s="3" t="n">
        <v>201700</v>
      </c>
      <c r="G89" s="3" t="n">
        <v>0</v>
      </c>
      <c r="H89" s="3" t="n">
        <f aca="false">F89-G89</f>
        <v>201700</v>
      </c>
      <c r="I89" s="3" t="n">
        <v>201700</v>
      </c>
      <c r="J89" s="5"/>
    </row>
    <row r="90" customFormat="false" ht="15" hidden="false" customHeight="false" outlineLevel="0" collapsed="false">
      <c r="A90" s="2" t="s">
        <v>153</v>
      </c>
      <c r="B90" s="3" t="n">
        <v>278000</v>
      </c>
      <c r="C90" s="3" t="n">
        <v>100000</v>
      </c>
      <c r="D90" s="3" t="n">
        <f aca="false">B90-C90</f>
        <v>178000</v>
      </c>
      <c r="E90" s="6" t="str">
        <f aca="false">IF(D90=0,"완납",IF(D90&lt;0,"과납 — 확인 필요",IF(C90=0,"받은 기록 없음","일부 납부")))</f>
        <v>일부 납부</v>
      </c>
      <c r="F90" s="3" t="n">
        <v>178000</v>
      </c>
      <c r="G90" s="3" t="n">
        <v>0</v>
      </c>
      <c r="H90" s="3" t="n">
        <f aca="false">F90-G90</f>
        <v>178000</v>
      </c>
      <c r="I90" s="3" t="n">
        <v>503000</v>
      </c>
      <c r="J90" s="5" t="s">
        <v>51</v>
      </c>
    </row>
    <row r="91" customFormat="false" ht="15" hidden="false" customHeight="false" outlineLevel="0" collapsed="false">
      <c r="A91" s="2" t="s">
        <v>154</v>
      </c>
      <c r="B91" s="3" t="n">
        <v>258700</v>
      </c>
      <c r="C91" s="3" t="n">
        <v>183700</v>
      </c>
      <c r="D91" s="3" t="n">
        <f aca="false">B91-C91</f>
        <v>75000</v>
      </c>
      <c r="E91" s="6" t="str">
        <f aca="false">IF(D91=0,"완납",IF(D91&lt;0,"과납 — 확인 필요",IF(C91=0,"받은 기록 없음","일부 납부")))</f>
        <v>일부 납부</v>
      </c>
      <c r="F91" s="3" t="n">
        <v>183700</v>
      </c>
      <c r="G91" s="3" t="n">
        <v>183700</v>
      </c>
      <c r="H91" s="3" t="n">
        <f aca="false">F91-G91</f>
        <v>0</v>
      </c>
      <c r="I91" s="3" t="n">
        <v>75000</v>
      </c>
      <c r="J91" s="5" t="s">
        <v>155</v>
      </c>
    </row>
    <row r="92" customFormat="false" ht="15" hidden="false" customHeight="false" outlineLevel="0" collapsed="false">
      <c r="A92" s="2" t="s">
        <v>156</v>
      </c>
      <c r="B92" s="3" t="n">
        <v>260000</v>
      </c>
      <c r="C92" s="3" t="n">
        <v>0</v>
      </c>
      <c r="D92" s="3" t="n">
        <f aca="false">B92-C92</f>
        <v>260000</v>
      </c>
      <c r="E92" s="7" t="str">
        <f aca="false">IF(D92=0,"완납",IF(D92&lt;0,"과납 — 확인 필요",IF(C92=0,"받은 기록 없음","일부 납부")))</f>
        <v>받은 기록 없음</v>
      </c>
      <c r="F92" s="3" t="n">
        <v>160000</v>
      </c>
      <c r="G92" s="3" t="n">
        <v>0</v>
      </c>
      <c r="H92" s="3" t="n">
        <f aca="false">F92-G92</f>
        <v>160000</v>
      </c>
      <c r="I92" s="3" t="n">
        <v>0</v>
      </c>
      <c r="J92" s="5"/>
    </row>
    <row r="93" customFormat="false" ht="15" hidden="false" customHeight="false" outlineLevel="0" collapsed="false">
      <c r="A93" s="2" t="s">
        <v>157</v>
      </c>
      <c r="B93" s="3" t="n">
        <v>291000</v>
      </c>
      <c r="C93" s="3" t="n">
        <v>291000</v>
      </c>
      <c r="D93" s="3" t="n">
        <f aca="false">B93-C93</f>
        <v>0</v>
      </c>
      <c r="E93" s="8" t="str">
        <f aca="false">IF(D93=0,"완납",IF(D93&lt;0,"과납 — 확인 필요",IF(C93=0,"받은 기록 없음","일부 납부")))</f>
        <v>완납</v>
      </c>
      <c r="F93" s="3" t="n">
        <v>191000</v>
      </c>
      <c r="G93" s="3" t="n">
        <v>191000</v>
      </c>
      <c r="H93" s="3" t="n">
        <f aca="false">F93-G93</f>
        <v>0</v>
      </c>
      <c r="I93" s="3" t="n">
        <v>0</v>
      </c>
      <c r="J93" s="5" t="s">
        <v>158</v>
      </c>
    </row>
    <row r="94" customFormat="false" ht="15" hidden="false" customHeight="false" outlineLevel="0" collapsed="false">
      <c r="A94" s="2" t="s">
        <v>159</v>
      </c>
      <c r="B94" s="3" t="n">
        <v>170000</v>
      </c>
      <c r="C94" s="3" t="n">
        <v>160000</v>
      </c>
      <c r="D94" s="3" t="n">
        <f aca="false">B94-C94</f>
        <v>10000</v>
      </c>
      <c r="E94" s="6" t="str">
        <f aca="false">IF(D94=0,"완납",IF(D94&lt;0,"과납 — 확인 필요",IF(C94=0,"받은 기록 없음","일부 납부")))</f>
        <v>일부 납부</v>
      </c>
      <c r="F94" s="3" t="n">
        <v>170000</v>
      </c>
      <c r="G94" s="3" t="n">
        <v>160000</v>
      </c>
      <c r="H94" s="3" t="n">
        <f aca="false">F94-G94</f>
        <v>10000</v>
      </c>
      <c r="I94" s="3" t="n">
        <v>0</v>
      </c>
      <c r="J94" s="5" t="s">
        <v>124</v>
      </c>
    </row>
    <row r="95" customFormat="false" ht="15" hidden="false" customHeight="false" outlineLevel="0" collapsed="false">
      <c r="A95" s="2" t="s">
        <v>160</v>
      </c>
      <c r="B95" s="3" t="n">
        <v>267700</v>
      </c>
      <c r="C95" s="3" t="n">
        <v>267700</v>
      </c>
      <c r="D95" s="3" t="n">
        <f aca="false">B95-C95</f>
        <v>0</v>
      </c>
      <c r="E95" s="8" t="str">
        <f aca="false">IF(D95=0,"완납",IF(D95&lt;0,"과납 — 확인 필요",IF(C95=0,"받은 기록 없음","일부 납부")))</f>
        <v>완납</v>
      </c>
      <c r="F95" s="3" t="n">
        <v>167700</v>
      </c>
      <c r="G95" s="3" t="n">
        <v>167700</v>
      </c>
      <c r="H95" s="3" t="n">
        <f aca="false">F95-G95</f>
        <v>0</v>
      </c>
      <c r="I95" s="3" t="n">
        <v>0</v>
      </c>
      <c r="J95" s="5" t="s">
        <v>161</v>
      </c>
    </row>
    <row r="96" customFormat="false" ht="15" hidden="false" customHeight="false" outlineLevel="0" collapsed="false">
      <c r="A96" s="2" t="s">
        <v>162</v>
      </c>
      <c r="B96" s="3" t="n">
        <v>1140000</v>
      </c>
      <c r="C96" s="3" t="n">
        <v>0</v>
      </c>
      <c r="D96" s="3" t="n">
        <f aca="false">B96-C96</f>
        <v>1140000</v>
      </c>
      <c r="E96" s="7" t="str">
        <f aca="false">IF(D96=0,"완납",IF(D96&lt;0,"과납 — 확인 필요",IF(C96=0,"받은 기록 없음","일부 납부")))</f>
        <v>받은 기록 없음</v>
      </c>
      <c r="F96" s="3" t="n">
        <v>170000</v>
      </c>
      <c r="G96" s="3" t="n">
        <v>0</v>
      </c>
      <c r="H96" s="3" t="n">
        <f aca="false">F96-G96</f>
        <v>170000</v>
      </c>
      <c r="I96" s="3" t="n">
        <v>1140000</v>
      </c>
      <c r="J96" s="5"/>
    </row>
    <row r="97" customFormat="false" ht="15" hidden="false" customHeight="false" outlineLevel="0" collapsed="false">
      <c r="A97" s="2" t="s">
        <v>163</v>
      </c>
      <c r="B97" s="3" t="n">
        <v>201000</v>
      </c>
      <c r="C97" s="3" t="n">
        <v>0</v>
      </c>
      <c r="D97" s="3" t="n">
        <f aca="false">B97-C97</f>
        <v>201000</v>
      </c>
      <c r="E97" s="7" t="str">
        <f aca="false">IF(D97=0,"완납",IF(D97&lt;0,"과납 — 확인 필요",IF(C97=0,"받은 기록 없음","일부 납부")))</f>
        <v>받은 기록 없음</v>
      </c>
      <c r="F97" s="3" t="n">
        <v>201000</v>
      </c>
      <c r="G97" s="3" t="n">
        <v>0</v>
      </c>
      <c r="H97" s="3" t="n">
        <f aca="false">F97-G97</f>
        <v>201000</v>
      </c>
      <c r="I97" s="3" t="n">
        <v>272000</v>
      </c>
      <c r="J97" s="5"/>
    </row>
    <row r="98" customFormat="false" ht="15" hidden="false" customHeight="false" outlineLevel="0" collapsed="false">
      <c r="A98" s="2" t="s">
        <v>164</v>
      </c>
      <c r="B98" s="3" t="n">
        <v>191000</v>
      </c>
      <c r="C98" s="3" t="n">
        <v>10000</v>
      </c>
      <c r="D98" s="3" t="n">
        <f aca="false">B98-C98</f>
        <v>181000</v>
      </c>
      <c r="E98" s="6" t="str">
        <f aca="false">IF(D98=0,"완납",IF(D98&lt;0,"과납 — 확인 필요",IF(C98=0,"받은 기록 없음","일부 납부")))</f>
        <v>일부 납부</v>
      </c>
      <c r="F98" s="3" t="n">
        <v>191000</v>
      </c>
      <c r="G98" s="3" t="n">
        <v>0</v>
      </c>
      <c r="H98" s="3" t="n">
        <f aca="false">F98-G98</f>
        <v>191000</v>
      </c>
      <c r="I98" s="3" t="n">
        <v>191000</v>
      </c>
      <c r="J98" s="9" t="s">
        <v>165</v>
      </c>
    </row>
    <row r="99" customFormat="false" ht="15" hidden="false" customHeight="false" outlineLevel="0" collapsed="false">
      <c r="A99" s="2" t="s">
        <v>166</v>
      </c>
      <c r="B99" s="3" t="n">
        <v>511700</v>
      </c>
      <c r="C99" s="3" t="n">
        <v>511700</v>
      </c>
      <c r="D99" s="3" t="n">
        <f aca="false">B99-C99</f>
        <v>0</v>
      </c>
      <c r="E99" s="8" t="str">
        <f aca="false">IF(D99=0,"완납",IF(D99&lt;0,"과납 — 확인 필요",IF(C99=0,"받은 기록 없음","일부 납부")))</f>
        <v>완납</v>
      </c>
      <c r="F99" s="3" t="n">
        <v>211700</v>
      </c>
      <c r="G99" s="3" t="n">
        <v>211700</v>
      </c>
      <c r="H99" s="3" t="n">
        <f aca="false">F99-G99</f>
        <v>0</v>
      </c>
      <c r="I99" s="3" t="n">
        <v>0</v>
      </c>
      <c r="J99" s="5" t="s">
        <v>167</v>
      </c>
    </row>
    <row r="100" customFormat="false" ht="15" hidden="false" customHeight="false" outlineLevel="0" collapsed="false">
      <c r="A100" s="2" t="s">
        <v>168</v>
      </c>
      <c r="B100" s="3" t="n">
        <v>276000</v>
      </c>
      <c r="C100" s="3" t="n">
        <v>75000</v>
      </c>
      <c r="D100" s="3" t="n">
        <f aca="false">B100-C100</f>
        <v>201000</v>
      </c>
      <c r="E100" s="6" t="str">
        <f aca="false">IF(D100=0,"완납",IF(D100&lt;0,"과납 — 확인 필요",IF(C100=0,"받은 기록 없음","일부 납부")))</f>
        <v>일부 납부</v>
      </c>
      <c r="F100" s="3" t="n">
        <v>201000</v>
      </c>
      <c r="G100" s="3" t="n">
        <v>0</v>
      </c>
      <c r="H100" s="3" t="n">
        <f aca="false">F100-G100</f>
        <v>201000</v>
      </c>
      <c r="I100" s="3" t="n">
        <v>641000</v>
      </c>
      <c r="J100" s="5" t="s">
        <v>169</v>
      </c>
    </row>
    <row r="101" customFormat="false" ht="15" hidden="false" customHeight="false" outlineLevel="0" collapsed="false">
      <c r="A101" s="2" t="s">
        <v>170</v>
      </c>
      <c r="B101" s="3" t="n">
        <v>211700</v>
      </c>
      <c r="C101" s="3" t="n">
        <v>211700</v>
      </c>
      <c r="D101" s="3" t="n">
        <f aca="false">B101-C101</f>
        <v>0</v>
      </c>
      <c r="E101" s="8" t="str">
        <f aca="false">IF(D101=0,"완납",IF(D101&lt;0,"과납 — 확인 필요",IF(C101=0,"받은 기록 없음","일부 납부")))</f>
        <v>완납</v>
      </c>
      <c r="F101" s="3" t="n">
        <v>211700</v>
      </c>
      <c r="G101" s="3" t="n">
        <v>211700</v>
      </c>
      <c r="H101" s="3" t="n">
        <f aca="false">F101-G101</f>
        <v>0</v>
      </c>
      <c r="I101" s="3" t="n">
        <v>0</v>
      </c>
      <c r="J101" s="5" t="s">
        <v>171</v>
      </c>
    </row>
    <row r="102" customFormat="false" ht="15" hidden="false" customHeight="false" outlineLevel="0" collapsed="false">
      <c r="A102" s="2" t="s">
        <v>172</v>
      </c>
      <c r="B102" s="3" t="n">
        <v>160000</v>
      </c>
      <c r="C102" s="3" t="n">
        <v>10000</v>
      </c>
      <c r="D102" s="3" t="n">
        <f aca="false">B102-C102</f>
        <v>150000</v>
      </c>
      <c r="E102" s="6" t="str">
        <f aca="false">IF(D102=0,"완납",IF(D102&lt;0,"과납 — 확인 필요",IF(C102=0,"받은 기록 없음","일부 납부")))</f>
        <v>일부 납부</v>
      </c>
      <c r="F102" s="3" t="n">
        <v>160000</v>
      </c>
      <c r="G102" s="3" t="n">
        <v>0</v>
      </c>
      <c r="H102" s="3" t="n">
        <f aca="false">F102-G102</f>
        <v>160000</v>
      </c>
      <c r="I102" s="3" t="n">
        <v>160000</v>
      </c>
      <c r="J102" s="9" t="s">
        <v>165</v>
      </c>
    </row>
    <row r="103" customFormat="false" ht="15" hidden="false" customHeight="false" outlineLevel="0" collapsed="false">
      <c r="A103" s="2" t="s">
        <v>173</v>
      </c>
      <c r="B103" s="10" t="n">
        <f aca="false">SUM(B2:B102)</f>
        <v>33831200</v>
      </c>
      <c r="C103" s="10" t="n">
        <f aca="false">SUM(C2:C102)</f>
        <v>22198900</v>
      </c>
      <c r="D103" s="10" t="n">
        <f aca="false">SUM(D2:D102)</f>
        <v>11632300</v>
      </c>
      <c r="E103" s="6"/>
      <c r="F103" s="10" t="n">
        <f aca="false">SUM(F2:F102)</f>
        <v>20149400</v>
      </c>
      <c r="G103" s="10" t="n">
        <f aca="false">SUM(G2:G102)</f>
        <v>9635900</v>
      </c>
      <c r="H103" s="10" t="n">
        <f aca="false">SUM(H2:H102)</f>
        <v>10513500</v>
      </c>
      <c r="I103" s="10" t="n">
        <f aca="false">SUM(I2:I102)</f>
        <v>53930600</v>
      </c>
      <c r="J10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44"/>
  </cols>
  <sheetData>
    <row r="1" customFormat="false" ht="17.15" hidden="false" customHeight="false" outlineLevel="0" collapsed="false">
      <c r="A1" s="11" t="s">
        <v>174</v>
      </c>
    </row>
    <row r="3" customFormat="false" ht="15" hidden="false" customHeight="false" outlineLevel="0" collapsed="false">
      <c r="A3" s="12" t="s">
        <v>175</v>
      </c>
      <c r="B3" s="12" t="s">
        <v>176</v>
      </c>
      <c r="C3" s="12" t="s">
        <v>177</v>
      </c>
      <c r="D3" s="12" t="s">
        <v>178</v>
      </c>
      <c r="E3" s="12" t="s">
        <v>179</v>
      </c>
    </row>
    <row r="4" customFormat="false" ht="15" hidden="false" customHeight="false" outlineLevel="0" collapsed="false">
      <c r="A4" s="13" t="s">
        <v>180</v>
      </c>
      <c r="B4" s="14" t="s">
        <v>181</v>
      </c>
      <c r="C4" s="3" t="n">
        <v>450000</v>
      </c>
      <c r="D4" s="14" t="s">
        <v>182</v>
      </c>
      <c r="E4" s="9" t="s">
        <v>183</v>
      </c>
    </row>
    <row r="5" customFormat="false" ht="15" hidden="false" customHeight="false" outlineLevel="0" collapsed="false">
      <c r="A5" s="14" t="s">
        <v>184</v>
      </c>
      <c r="B5" s="13" t="s">
        <v>185</v>
      </c>
      <c r="C5" s="3" t="n">
        <v>8000</v>
      </c>
      <c r="D5" s="14" t="s">
        <v>186</v>
      </c>
      <c r="E5" s="9" t="s">
        <v>187</v>
      </c>
    </row>
    <row r="6" customFormat="false" ht="15" hidden="false" customHeight="false" outlineLevel="0" collapsed="false">
      <c r="A6" s="14" t="s">
        <v>188</v>
      </c>
      <c r="B6" s="13" t="s">
        <v>185</v>
      </c>
      <c r="C6" s="3" t="n">
        <v>8000</v>
      </c>
      <c r="D6" s="14" t="s">
        <v>186</v>
      </c>
      <c r="E6" s="9" t="s">
        <v>187</v>
      </c>
    </row>
    <row r="7" customFormat="false" ht="15" hidden="false" customHeight="false" outlineLevel="0" collapsed="false">
      <c r="A7" s="14" t="s">
        <v>189</v>
      </c>
      <c r="B7" s="13" t="s">
        <v>185</v>
      </c>
      <c r="C7" s="3" t="n">
        <v>16000</v>
      </c>
      <c r="D7" s="14" t="s">
        <v>186</v>
      </c>
      <c r="E7" s="9" t="s">
        <v>187</v>
      </c>
    </row>
    <row r="8" customFormat="false" ht="15" hidden="false" customHeight="false" outlineLevel="0" collapsed="false">
      <c r="A8" s="14" t="s">
        <v>190</v>
      </c>
      <c r="B8" s="13" t="s">
        <v>185</v>
      </c>
      <c r="C8" s="3" t="n">
        <v>8000</v>
      </c>
      <c r="D8" s="14" t="s">
        <v>186</v>
      </c>
      <c r="E8" s="9" t="s">
        <v>187</v>
      </c>
    </row>
    <row r="9" customFormat="false" ht="15" hidden="false" customHeight="false" outlineLevel="0" collapsed="false">
      <c r="A9" s="14" t="s">
        <v>190</v>
      </c>
      <c r="B9" s="13" t="s">
        <v>185</v>
      </c>
      <c r="C9" s="3" t="n">
        <v>100000</v>
      </c>
      <c r="D9" s="14" t="s">
        <v>191</v>
      </c>
      <c r="E9" s="9" t="s">
        <v>183</v>
      </c>
    </row>
    <row r="10" customFormat="false" ht="15" hidden="false" customHeight="false" outlineLevel="0" collapsed="false">
      <c r="A10" s="14" t="s">
        <v>192</v>
      </c>
      <c r="B10" s="13" t="s">
        <v>193</v>
      </c>
      <c r="C10" s="3" t="n">
        <v>160000</v>
      </c>
      <c r="D10" s="14" t="s">
        <v>182</v>
      </c>
      <c r="E10" s="9" t="s">
        <v>183</v>
      </c>
    </row>
    <row r="11" customFormat="false" ht="15" hidden="false" customHeight="false" outlineLevel="0" collapsed="false">
      <c r="A11" s="13" t="s">
        <v>180</v>
      </c>
      <c r="B11" s="13" t="s">
        <v>193</v>
      </c>
      <c r="C11" s="3" t="n">
        <v>170000</v>
      </c>
      <c r="D11" s="14" t="s">
        <v>182</v>
      </c>
      <c r="E11" s="9" t="s">
        <v>183</v>
      </c>
    </row>
    <row r="12" customFormat="false" ht="15" hidden="false" customHeight="false" outlineLevel="0" collapsed="false">
      <c r="A12" s="13" t="s">
        <v>194</v>
      </c>
      <c r="B12" s="13" t="s">
        <v>193</v>
      </c>
      <c r="C12" s="3" t="n">
        <v>201700</v>
      </c>
      <c r="D12" s="14" t="s">
        <v>182</v>
      </c>
      <c r="E12" s="9" t="s">
        <v>183</v>
      </c>
    </row>
    <row r="13" customFormat="false" ht="15" hidden="false" customHeight="false" outlineLevel="0" collapsed="false">
      <c r="A13" s="14" t="s">
        <v>195</v>
      </c>
      <c r="B13" s="13" t="s">
        <v>185</v>
      </c>
      <c r="C13" s="3" t="n">
        <v>8000</v>
      </c>
      <c r="D13" s="14" t="s">
        <v>186</v>
      </c>
      <c r="E13" s="9" t="s">
        <v>187</v>
      </c>
    </row>
    <row r="14" customFormat="false" ht="15" hidden="false" customHeight="false" outlineLevel="0" collapsed="false">
      <c r="A14" s="14" t="s">
        <v>190</v>
      </c>
      <c r="B14" s="13" t="s">
        <v>185</v>
      </c>
      <c r="C14" s="3" t="n">
        <v>16000</v>
      </c>
      <c r="D14" s="14" t="s">
        <v>191</v>
      </c>
      <c r="E14" s="9" t="s">
        <v>187</v>
      </c>
    </row>
    <row r="15" customFormat="false" ht="15" hidden="false" customHeight="false" outlineLevel="0" collapsed="false">
      <c r="A15" s="14" t="s">
        <v>196</v>
      </c>
      <c r="B15" s="13" t="s">
        <v>185</v>
      </c>
      <c r="C15" s="3" t="n">
        <v>91000</v>
      </c>
      <c r="D15" s="14" t="s">
        <v>186</v>
      </c>
      <c r="E15" s="9" t="s">
        <v>187</v>
      </c>
    </row>
    <row r="16" customFormat="false" ht="15" hidden="false" customHeight="false" outlineLevel="0" collapsed="false">
      <c r="A16" s="13" t="s">
        <v>197</v>
      </c>
      <c r="B16" s="13" t="s">
        <v>185</v>
      </c>
      <c r="C16" s="3" t="n">
        <v>20000</v>
      </c>
      <c r="D16" s="14" t="s">
        <v>182</v>
      </c>
      <c r="E16" s="9" t="s">
        <v>187</v>
      </c>
    </row>
    <row r="17" customFormat="false" ht="15" hidden="false" customHeight="false" outlineLevel="0" collapsed="false">
      <c r="A17" s="14" t="s">
        <v>198</v>
      </c>
      <c r="B17" s="13" t="s">
        <v>185</v>
      </c>
      <c r="C17" s="3" t="n">
        <v>67000</v>
      </c>
      <c r="D17" s="14" t="s">
        <v>186</v>
      </c>
      <c r="E17" s="9" t="s">
        <v>187</v>
      </c>
    </row>
    <row r="18" customFormat="false" ht="15" hidden="false" customHeight="false" outlineLevel="0" collapsed="false">
      <c r="A18" s="14" t="s">
        <v>195</v>
      </c>
      <c r="B18" s="13" t="s">
        <v>185</v>
      </c>
      <c r="C18" s="3" t="n">
        <v>8000</v>
      </c>
      <c r="D18" s="14" t="s">
        <v>191</v>
      </c>
      <c r="E18" s="9" t="s">
        <v>187</v>
      </c>
    </row>
    <row r="19" customFormat="false" ht="15" hidden="false" customHeight="false" outlineLevel="0" collapsed="false">
      <c r="A19" s="13" t="s">
        <v>199</v>
      </c>
      <c r="B19" s="13" t="s">
        <v>185</v>
      </c>
      <c r="C19" s="3" t="n">
        <v>81000</v>
      </c>
      <c r="D19" s="14" t="s">
        <v>186</v>
      </c>
      <c r="E19" s="9" t="s">
        <v>187</v>
      </c>
    </row>
    <row r="20" customFormat="false" ht="15" hidden="false" customHeight="false" outlineLevel="0" collapsed="false">
      <c r="A20" s="13" t="s">
        <v>200</v>
      </c>
      <c r="B20" s="13" t="s">
        <v>185</v>
      </c>
      <c r="C20" s="3" t="n">
        <v>68000</v>
      </c>
      <c r="D20" s="14" t="s">
        <v>186</v>
      </c>
      <c r="E20" s="9" t="s">
        <v>187</v>
      </c>
    </row>
    <row r="21" customFormat="false" ht="15" hidden="false" customHeight="false" outlineLevel="0" collapsed="false">
      <c r="A21" s="13" t="s">
        <v>201</v>
      </c>
      <c r="B21" s="13" t="s">
        <v>185</v>
      </c>
      <c r="C21" s="3" t="n">
        <v>12000</v>
      </c>
      <c r="D21" s="14" t="s">
        <v>186</v>
      </c>
      <c r="E21" s="9" t="s">
        <v>187</v>
      </c>
    </row>
    <row r="22" customFormat="false" ht="15" hidden="false" customHeight="false" outlineLevel="0" collapsed="false">
      <c r="A22" s="14" t="s">
        <v>202</v>
      </c>
      <c r="B22" s="13" t="s">
        <v>185</v>
      </c>
      <c r="C22" s="3" t="n">
        <v>8000</v>
      </c>
      <c r="D22" s="14" t="s">
        <v>186</v>
      </c>
      <c r="E22" s="9" t="s">
        <v>187</v>
      </c>
    </row>
    <row r="23" customFormat="false" ht="15" hidden="false" customHeight="false" outlineLevel="0" collapsed="false">
      <c r="A23" s="14" t="s">
        <v>203</v>
      </c>
      <c r="B23" s="13" t="s">
        <v>185</v>
      </c>
      <c r="C23" s="3" t="n">
        <v>85000</v>
      </c>
      <c r="D23" s="14" t="s">
        <v>182</v>
      </c>
      <c r="E23" s="9" t="s">
        <v>187</v>
      </c>
    </row>
    <row r="24" customFormat="false" ht="15" hidden="false" customHeight="false" outlineLevel="0" collapsed="false">
      <c r="A24" s="14" t="s">
        <v>204</v>
      </c>
      <c r="B24" s="14" t="s">
        <v>205</v>
      </c>
      <c r="C24" s="3" t="n">
        <v>220000</v>
      </c>
      <c r="D24" s="14" t="s">
        <v>186</v>
      </c>
      <c r="E24" s="9" t="s">
        <v>183</v>
      </c>
    </row>
    <row r="25" customFormat="false" ht="15" hidden="false" customHeight="false" outlineLevel="0" collapsed="false">
      <c r="A25" s="13" t="s">
        <v>194</v>
      </c>
      <c r="B25" s="13" t="s">
        <v>185</v>
      </c>
      <c r="C25" s="3" t="n">
        <v>100000</v>
      </c>
      <c r="D25" s="14" t="s">
        <v>186</v>
      </c>
      <c r="E25" s="9" t="s">
        <v>183</v>
      </c>
    </row>
    <row r="26" customFormat="false" ht="15" hidden="false" customHeight="false" outlineLevel="0" collapsed="false">
      <c r="A26" s="14" t="s">
        <v>192</v>
      </c>
      <c r="B26" s="13" t="s">
        <v>185</v>
      </c>
      <c r="C26" s="3" t="n">
        <v>100000</v>
      </c>
      <c r="D26" s="14" t="s">
        <v>186</v>
      </c>
      <c r="E26" s="9" t="s">
        <v>183</v>
      </c>
    </row>
    <row r="27" customFormat="false" ht="15" hidden="false" customHeight="false" outlineLevel="0" collapsed="false">
      <c r="A27" s="13" t="s">
        <v>206</v>
      </c>
      <c r="B27" s="13" t="s">
        <v>185</v>
      </c>
      <c r="C27" s="3" t="n">
        <v>100000</v>
      </c>
      <c r="D27" s="14" t="s">
        <v>186</v>
      </c>
      <c r="E27" s="9" t="s">
        <v>183</v>
      </c>
    </row>
    <row r="28" customFormat="false" ht="15" hidden="false" customHeight="false" outlineLevel="0" collapsed="false">
      <c r="A28" s="14" t="s">
        <v>207</v>
      </c>
      <c r="B28" s="13" t="s">
        <v>185</v>
      </c>
      <c r="C28" s="3" t="n">
        <v>100000</v>
      </c>
      <c r="D28" s="14" t="s">
        <v>182</v>
      </c>
      <c r="E28" s="9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4"/>
    <col collapsed="false" customWidth="true" hidden="false" outlineLevel="0" max="3" min="3" style="0" width="58"/>
  </cols>
  <sheetData>
    <row r="1" customFormat="false" ht="17.15" hidden="false" customHeight="false" outlineLevel="0" collapsed="false">
      <c r="A1" s="11" t="s">
        <v>208</v>
      </c>
    </row>
    <row r="3" customFormat="false" ht="15" hidden="false" customHeight="false" outlineLevel="0" collapsed="false">
      <c r="A3" s="15" t="s">
        <v>209</v>
      </c>
      <c r="B3" s="15" t="s">
        <v>210</v>
      </c>
      <c r="C3" s="15" t="s">
        <v>211</v>
      </c>
    </row>
    <row r="4" customFormat="false" ht="45.75" hidden="false" customHeight="true" outlineLevel="0" collapsed="false">
      <c r="A4" s="16" t="s">
        <v>212</v>
      </c>
      <c r="B4" s="17" t="s">
        <v>213</v>
      </c>
      <c r="C4" s="17" t="s">
        <v>214</v>
      </c>
    </row>
    <row r="5" customFormat="false" ht="45.75" hidden="false" customHeight="true" outlineLevel="0" collapsed="false">
      <c r="A5" s="16" t="s">
        <v>215</v>
      </c>
      <c r="B5" s="17" t="s">
        <v>216</v>
      </c>
      <c r="C5" s="17" t="s">
        <v>217</v>
      </c>
    </row>
    <row r="6" customFormat="false" ht="45.75" hidden="false" customHeight="true" outlineLevel="0" collapsed="false">
      <c r="A6" s="16" t="s">
        <v>218</v>
      </c>
      <c r="B6" s="17" t="s">
        <v>219</v>
      </c>
      <c r="C6" s="17" t="s">
        <v>220</v>
      </c>
    </row>
    <row r="7" customFormat="false" ht="45.75" hidden="false" customHeight="true" outlineLevel="0" collapsed="false">
      <c r="A7" s="16" t="s">
        <v>221</v>
      </c>
      <c r="B7" s="17" t="s">
        <v>222</v>
      </c>
      <c r="C7" s="17" t="s">
        <v>223</v>
      </c>
    </row>
    <row r="8" customFormat="false" ht="45.75" hidden="false" customHeight="true" outlineLevel="0" collapsed="false">
      <c r="A8" s="16" t="s">
        <v>224</v>
      </c>
      <c r="B8" s="17" t="s">
        <v>225</v>
      </c>
      <c r="C8" s="17" t="s">
        <v>226</v>
      </c>
    </row>
    <row r="9" customFormat="false" ht="45.75" hidden="false" customHeight="true" outlineLevel="0" collapsed="false">
      <c r="A9" s="16" t="s">
        <v>227</v>
      </c>
      <c r="B9" s="17" t="s">
        <v>228</v>
      </c>
      <c r="C9" s="17" t="s">
        <v>229</v>
      </c>
    </row>
    <row r="10" customFormat="false" ht="45.75" hidden="false" customHeight="true" outlineLevel="0" collapsed="false">
      <c r="A10" s="16" t="s">
        <v>230</v>
      </c>
      <c r="B10" s="17" t="s">
        <v>231</v>
      </c>
      <c r="C10" s="17" t="s">
        <v>232</v>
      </c>
    </row>
    <row r="11" customFormat="false" ht="45.75" hidden="false" customHeight="true" outlineLevel="0" collapsed="false">
      <c r="A11" s="16" t="s">
        <v>233</v>
      </c>
      <c r="B11" s="17" t="s">
        <v>234</v>
      </c>
      <c r="C11" s="17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2026-09-17T06:00:05Z</dcterms:created>
  <dc:creator>openpyxl</dc:creator>
  <dc:description/>
  <dc:language>en-US</dc:language>
  <cp:lastModifiedBy/>
  <dcterms:modified xsi:type="dcterms:W3CDTF">2026-09-17T06:00:05Z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