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방과후 대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<sst xmlns="http://schemas.openxmlformats.org/spreadsheetml/2006/main" count="785" uniqueCount="234">
  <si>
    <r>
      <rPr>
        <b val="true"/>
        <sz val="10"/>
        <color rgb="FFFFFFFF"/>
        <rFont val="Noto Sans CJK SC"/>
        <family val="2"/>
      </rPr>
      <t xml:space="preserve">이름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한글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</si>
  <si>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이름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영문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</si>
  <si>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앱 반</t>
  </si>
  <si>
    <t xml:space="preserve">엑셀 표기</t>
  </si>
  <si>
    <t xml:space="preserve">엑셀 월 금액</t>
  </si>
  <si>
    <t xml:space="preserve">앱 방과후반</t>
  </si>
  <si>
    <t xml:space="preserve">앱 납부옵션</t>
  </si>
  <si>
    <t xml:space="preserve">앱 월 환산</t>
  </si>
  <si>
    <t xml:space="preserve">차이</t>
  </si>
  <si>
    <t xml:space="preserve">판정</t>
  </si>
  <si>
    <t xml:space="preserve">무엇이 다른가</t>
  </si>
  <si>
    <t xml:space="preserve">고진우</t>
  </si>
  <si>
    <t xml:space="preserve">Jinwoo</t>
  </si>
  <si>
    <t xml:space="preserve">G2A</t>
  </si>
  <si>
    <t xml:space="preserve">10M/5D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</si>
  <si>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</t>
    </r>
  </si>
  <si>
    <t xml:space="preserve">월 납부</t>
  </si>
  <si>
    <t xml:space="preserve">안 맞음</t>
  </si>
  <si>
    <r>
      <rPr>
        <sz val="10"/>
        <rFont val="Noto Sans CJK SC"/>
        <family val="2"/>
      </rPr>
      <t xml:space="preserve">선납기간이 다릅니다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엑셀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개월 납부 → 앱 월 납부</t>
    </r>
    <r>
      <rPr>
        <sz val="10"/>
        <rFont val="Arial"/>
        <family val="0"/>
        <charset val="1"/>
      </rPr>
      <t xml:space="preserve">)</t>
    </r>
  </si>
  <si>
    <t xml:space="preserve">곽세린</t>
  </si>
  <si>
    <t xml:space="preserve">Celine</t>
  </si>
  <si>
    <t xml:space="preserve">10M/2D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</si>
  <si>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일</t>
    </r>
  </si>
  <si>
    <t xml:space="preserve">김도은</t>
  </si>
  <si>
    <t xml:space="preserve">Rogan</t>
  </si>
  <si>
    <t xml:space="preserve">박세주</t>
  </si>
  <si>
    <t xml:space="preserve">Reina</t>
  </si>
  <si>
    <t xml:space="preserve">연하윤</t>
  </si>
  <si>
    <t xml:space="preserve">Hayoon</t>
  </si>
  <si>
    <t xml:space="preserve">원세빈</t>
  </si>
  <si>
    <t xml:space="preserve">Sophia</t>
  </si>
  <si>
    <t xml:space="preserve">이서준</t>
  </si>
  <si>
    <t xml:space="preserve">Seojun</t>
  </si>
  <si>
    <t xml:space="preserve">5M/5D</t>
  </si>
  <si>
    <r>
      <rPr>
        <sz val="10"/>
        <rFont val="Noto Sans CJK SC"/>
        <family val="2"/>
      </rPr>
      <t xml:space="preserve">선납기간이 다릅니다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엑셀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개월 납부 → 앱 월 납부</t>
    </r>
    <r>
      <rPr>
        <sz val="10"/>
        <rFont val="Arial"/>
        <family val="0"/>
        <charset val="1"/>
      </rPr>
      <t xml:space="preserve">)</t>
    </r>
  </si>
  <si>
    <t xml:space="preserve">한우영</t>
  </si>
  <si>
    <t xml:space="preserve">Zoe</t>
  </si>
  <si>
    <t xml:space="preserve">고서윤</t>
  </si>
  <si>
    <t xml:space="preserve">Jenny</t>
  </si>
  <si>
    <t xml:space="preserve">G2C</t>
  </si>
  <si>
    <t xml:space="preserve">권태이</t>
  </si>
  <si>
    <t xml:space="preserve">Tay</t>
  </si>
  <si>
    <t xml:space="preserve">백서아</t>
  </si>
  <si>
    <t xml:space="preserve">Ruby</t>
  </si>
  <si>
    <t xml:space="preserve">1M/5D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</si>
  <si>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</si>
  <si>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수강일수가 다릅니다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엑셀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일반 → 앱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)</t>
    </r>
  </si>
  <si>
    <t xml:space="preserve">이아인</t>
  </si>
  <si>
    <t xml:space="preserve">Ayn</t>
  </si>
  <si>
    <t xml:space="preserve">이은재</t>
  </si>
  <si>
    <t xml:space="preserve">Ellie</t>
  </si>
  <si>
    <t xml:space="preserve">없음</t>
  </si>
  <si>
    <t xml:space="preserve">엑셀엔 있는데 앱에 등록이 없습니다</t>
  </si>
  <si>
    <t xml:space="preserve">전준백</t>
  </si>
  <si>
    <t xml:space="preserve">Justin</t>
  </si>
  <si>
    <t xml:space="preserve">10M</t>
  </si>
  <si>
    <t xml:space="preserve">전지완</t>
  </si>
  <si>
    <t xml:space="preserve">Eric</t>
  </si>
  <si>
    <t xml:space="preserve">황라윤</t>
  </si>
  <si>
    <t xml:space="preserve">Bella</t>
  </si>
  <si>
    <t xml:space="preserve">김나율</t>
  </si>
  <si>
    <t xml:space="preserve">Anna</t>
  </si>
  <si>
    <t xml:space="preserve">G2J</t>
  </si>
  <si>
    <t xml:space="preserve">노유겸</t>
  </si>
  <si>
    <t xml:space="preserve">Noah</t>
  </si>
  <si>
    <t xml:space="preserve">문준연</t>
  </si>
  <si>
    <t xml:space="preserve">Joon</t>
  </si>
  <si>
    <t xml:space="preserve">10M/3D</t>
  </si>
  <si>
    <t xml:space="preserve">심규민</t>
  </si>
  <si>
    <t xml:space="preserve">Gyumin</t>
  </si>
  <si>
    <t xml:space="preserve">이라엘</t>
  </si>
  <si>
    <t xml:space="preserve">Lael</t>
  </si>
  <si>
    <t xml:space="preserve">이신원</t>
  </si>
  <si>
    <t xml:space="preserve">Max</t>
  </si>
  <si>
    <t xml:space="preserve">이연우</t>
  </si>
  <si>
    <t xml:space="preserve">Yeni</t>
  </si>
  <si>
    <t xml:space="preserve">황라원</t>
  </si>
  <si>
    <t xml:space="preserve">이예온</t>
  </si>
  <si>
    <t xml:space="preserve">Grace</t>
  </si>
  <si>
    <t xml:space="preserve">G3JA</t>
  </si>
  <si>
    <t xml:space="preserve">1M</t>
  </si>
  <si>
    <t xml:space="preserve">엑셀엔 방과후가 없는데 앱에는 등록되어 있습니다</t>
  </si>
  <si>
    <t xml:space="preserve">이주원</t>
  </si>
  <si>
    <t xml:space="preserve">Benny</t>
  </si>
  <si>
    <r>
      <rPr>
        <sz val="10"/>
        <rFont val="Noto Sans CJK SC"/>
        <family val="2"/>
      </rPr>
      <t xml:space="preserve">수강일수가 다릅니다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엑셀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일반 → 앱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)</t>
    </r>
  </si>
  <si>
    <t xml:space="preserve">이준서</t>
  </si>
  <si>
    <t xml:space="preserve">임주한</t>
  </si>
  <si>
    <t xml:space="preserve">Juhan</t>
  </si>
  <si>
    <t xml:space="preserve">정이엘</t>
  </si>
  <si>
    <t xml:space="preserve">E.L</t>
  </si>
  <si>
    <t xml:space="preserve">김현수</t>
  </si>
  <si>
    <t xml:space="preserve">Hans</t>
  </si>
  <si>
    <t xml:space="preserve">G3JU</t>
  </si>
  <si>
    <t xml:space="preserve">민송희</t>
  </si>
  <si>
    <t xml:space="preserve">유한솔</t>
  </si>
  <si>
    <t xml:space="preserve">Kai</t>
  </si>
  <si>
    <t xml:space="preserve">이서아</t>
  </si>
  <si>
    <t xml:space="preserve">Vivian</t>
  </si>
  <si>
    <t xml:space="preserve">임다현</t>
  </si>
  <si>
    <t xml:space="preserve">Diane</t>
  </si>
  <si>
    <t xml:space="preserve">차봄</t>
  </si>
  <si>
    <t xml:space="preserve">Bom</t>
  </si>
  <si>
    <t xml:space="preserve">최서아</t>
  </si>
  <si>
    <t xml:space="preserve">Sarah</t>
  </si>
  <si>
    <t xml:space="preserve">홍서형</t>
  </si>
  <si>
    <t xml:space="preserve">Danny</t>
  </si>
  <si>
    <t xml:space="preserve">강하라</t>
  </si>
  <si>
    <t xml:space="preserve">Hara</t>
  </si>
  <si>
    <t xml:space="preserve">G4R</t>
  </si>
  <si>
    <t xml:space="preserve">N/A</t>
  </si>
  <si>
    <t xml:space="preserve">고이건</t>
  </si>
  <si>
    <t xml:space="preserve">Eagon</t>
  </si>
  <si>
    <t xml:space="preserve">김태오</t>
  </si>
  <si>
    <t xml:space="preserve">Theo</t>
  </si>
  <si>
    <t xml:space="preserve">-</t>
  </si>
  <si>
    <t xml:space="preserve">임하임</t>
  </si>
  <si>
    <t xml:space="preserve">Blaire</t>
  </si>
  <si>
    <t xml:space="preserve">정서우</t>
  </si>
  <si>
    <t xml:space="preserve">Stella</t>
  </si>
  <si>
    <t xml:space="preserve">5M</t>
  </si>
  <si>
    <t xml:space="preserve">조장훈</t>
  </si>
  <si>
    <t xml:space="preserve">Janghoon</t>
  </si>
  <si>
    <t xml:space="preserve">홍동은</t>
  </si>
  <si>
    <t xml:space="preserve">Jaden</t>
  </si>
  <si>
    <t xml:space="preserve">권수호</t>
  </si>
  <si>
    <t xml:space="preserve">Teddy</t>
  </si>
  <si>
    <t xml:space="preserve">G4S</t>
  </si>
  <si>
    <t xml:space="preserve">김동하</t>
  </si>
  <si>
    <t xml:space="preserve">Dongha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</si>
  <si>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개월 납부</t>
    </r>
  </si>
  <si>
    <r>
      <rPr>
        <sz val="10"/>
        <rFont val="Noto Sans CJK SC"/>
        <family val="2"/>
      </rPr>
      <t xml:space="preserve">선납기간이 다릅니다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엑셀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개월 납부 → 앱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개월 납부</t>
    </r>
    <r>
      <rPr>
        <sz val="10"/>
        <rFont val="Arial"/>
        <family val="0"/>
        <charset val="1"/>
      </rPr>
      <t xml:space="preserve">)</t>
    </r>
  </si>
  <si>
    <t xml:space="preserve">김서진</t>
  </si>
  <si>
    <t xml:space="preserve">Seojin</t>
  </si>
  <si>
    <r>
      <rPr>
        <sz val="10"/>
        <rFont val="Noto Sans CJK SC"/>
        <family val="2"/>
      </rPr>
      <t xml:space="preserve">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선납 둘 다 다릅니다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엑셀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일반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개월 납부</t>
    </r>
    <r>
      <rPr>
        <sz val="10"/>
        <rFont val="Arial"/>
        <family val="0"/>
        <charset val="1"/>
      </rPr>
      <t xml:space="preserve">)</t>
    </r>
  </si>
  <si>
    <t xml:space="preserve">남가인</t>
  </si>
  <si>
    <t xml:space="preserve">Gahin</t>
  </si>
  <si>
    <t xml:space="preserve">임선우</t>
  </si>
  <si>
    <t xml:space="preserve">Sunwoo</t>
  </si>
  <si>
    <t xml:space="preserve">정하임</t>
  </si>
  <si>
    <t xml:space="preserve">Hayim</t>
  </si>
  <si>
    <t xml:space="preserve">황준호</t>
  </si>
  <si>
    <t xml:space="preserve">June</t>
  </si>
  <si>
    <t xml:space="preserve">강서후</t>
  </si>
  <si>
    <t xml:space="preserve">Seohu</t>
  </si>
  <si>
    <t xml:space="preserve">요금표 밖</t>
  </si>
  <si>
    <r>
      <rPr>
        <sz val="10"/>
        <rFont val="Noto Sans CJK SC"/>
        <family val="2"/>
      </rPr>
      <t xml:space="preserve">엑셀 금액 </t>
    </r>
    <r>
      <rPr>
        <sz val="10"/>
        <rFont val="Arial"/>
        <family val="0"/>
        <charset val="1"/>
      </rPr>
      <t xml:space="preserve">360,000</t>
    </r>
    <r>
      <rPr>
        <sz val="10"/>
        <rFont val="Noto Sans CJK SC"/>
        <family val="2"/>
      </rPr>
      <t xml:space="preserve">원이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·3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·2</t>
    </r>
    <r>
      <rPr>
        <sz val="10"/>
        <rFont val="Noto Sans CJK SC"/>
        <family val="2"/>
      </rPr>
      <t xml:space="preserve">일반 어느 요금에도 안 떨어집니다</t>
    </r>
  </si>
  <si>
    <t xml:space="preserve">이준원</t>
  </si>
  <si>
    <t xml:space="preserve">Jun</t>
  </si>
  <si>
    <t xml:space="preserve">유재이</t>
  </si>
  <si>
    <t xml:space="preserve">Jae Yi</t>
  </si>
  <si>
    <r>
      <rPr>
        <sz val="10"/>
        <rFont val="Noto Sans CJK SC"/>
        <family val="2"/>
      </rPr>
      <t xml:space="preserve">엑셀 금액 </t>
    </r>
    <r>
      <rPr>
        <sz val="10"/>
        <rFont val="Arial"/>
        <family val="0"/>
        <charset val="1"/>
      </rPr>
      <t xml:space="preserve">315,000</t>
    </r>
    <r>
      <rPr>
        <sz val="10"/>
        <rFont val="Noto Sans CJK SC"/>
        <family val="2"/>
      </rPr>
      <t xml:space="preserve">원이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·3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·2</t>
    </r>
    <r>
      <rPr>
        <sz val="10"/>
        <rFont val="Noto Sans CJK SC"/>
        <family val="2"/>
      </rPr>
      <t xml:space="preserve">일반 어느 요금에도 안 떨어집니다</t>
    </r>
  </si>
  <si>
    <t xml:space="preserve">김지민</t>
  </si>
  <si>
    <t xml:space="preserve">Jimin</t>
  </si>
  <si>
    <t xml:space="preserve">김재이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</si>
  <si>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동명이인</t>
    </r>
    <r>
      <rPr>
        <sz val="10"/>
        <rFont val="Arial"/>
        <family val="0"/>
        <charset val="1"/>
      </rPr>
      <t xml:space="preserve">)</t>
    </r>
  </si>
  <si>
    <t xml:space="preserve">사람 확인</t>
  </si>
  <si>
    <r>
      <rPr>
        <sz val="10"/>
        <rFont val="Noto Sans CJK SC"/>
        <family val="2"/>
      </rPr>
      <t xml:space="preserve">엑셀에 같은 이름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명 — 이름만으로는 못 가릅니다</t>
    </r>
  </si>
  <si>
    <t xml:space="preserve">심재이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</si>
  <si>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이름 없음</t>
    </r>
    <r>
      <rPr>
        <sz val="10"/>
        <rFont val="Arial"/>
        <family val="0"/>
        <charset val="1"/>
      </rPr>
      <t xml:space="preserve">)</t>
    </r>
  </si>
  <si>
    <t xml:space="preserve">대조 불가</t>
  </si>
  <si>
    <r>
      <rPr>
        <sz val="10"/>
        <rFont val="Noto Sans CJK SC"/>
        <family val="2"/>
      </rPr>
      <t xml:space="preserve">엑셀 명단에 없는 이름 — 신입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전입으로 보입니다</t>
    </r>
  </si>
  <si>
    <t xml:space="preserve">김준원</t>
  </si>
  <si>
    <t xml:space="preserve">김서준</t>
  </si>
  <si>
    <t xml:space="preserve">김준영</t>
  </si>
  <si>
    <t xml:space="preserve">노시엘</t>
  </si>
  <si>
    <t xml:space="preserve">송윤진</t>
  </si>
  <si>
    <t xml:space="preserve">장예나</t>
  </si>
  <si>
    <t xml:space="preserve">마리아 파즈 마누키안</t>
  </si>
  <si>
    <t xml:space="preserve">홍선우</t>
  </si>
  <si>
    <t xml:space="preserve">강예성</t>
  </si>
  <si>
    <t xml:space="preserve">G5E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</si>
  <si>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엑셀에 방과후 칸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</si>
  <si>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엑셀 </t>
    </r>
    <r>
      <rPr>
        <sz val="10"/>
        <rFont val="Arial"/>
        <family val="0"/>
        <charset val="1"/>
      </rPr>
      <t xml:space="preserve">4A </t>
    </r>
    <r>
      <rPr>
        <sz val="10"/>
        <rFont val="Noto Sans CJK SC"/>
        <family val="2"/>
      </rPr>
      <t xml:space="preserve">시트에는 방과후 줄이 아예 없습니다</t>
    </r>
  </si>
  <si>
    <t xml:space="preserve">강하늘</t>
  </si>
  <si>
    <t xml:space="preserve">김리안</t>
  </si>
  <si>
    <t xml:space="preserve">김요한</t>
  </si>
  <si>
    <t xml:space="preserve">김태윤</t>
  </si>
  <si>
    <t xml:space="preserve">도윤서</t>
  </si>
  <si>
    <t xml:space="preserve">송우진</t>
  </si>
  <si>
    <t xml:space="preserve">이온유</t>
  </si>
  <si>
    <t xml:space="preserve">이한범</t>
  </si>
  <si>
    <t xml:space="preserve">임지효</t>
  </si>
  <si>
    <t xml:space="preserve">최서연</t>
  </si>
  <si>
    <t xml:space="preserve">김단우</t>
  </si>
  <si>
    <t xml:space="preserve">Danu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</si>
  <si>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개월 선납 </t>
    </r>
    <r>
      <rPr>
        <sz val="10"/>
        <rFont val="Arial"/>
        <family val="0"/>
        <charset val="1"/>
      </rPr>
      <t xml:space="preserve">/ 5</t>
    </r>
    <r>
      <rPr>
        <sz val="10"/>
        <rFont val="Noto Sans CJK SC"/>
        <family val="2"/>
      </rPr>
      <t xml:space="preserve">일수강 </t>
    </r>
  </si>
  <si>
    <t xml:space="preserve">맞음</t>
  </si>
  <si>
    <t xml:space="preserve">박세인</t>
  </si>
  <si>
    <t xml:space="preserve">Sein</t>
  </si>
  <si>
    <t xml:space="preserve">양쪽 다 방과후 없음</t>
  </si>
  <si>
    <t xml:space="preserve">서민준</t>
  </si>
  <si>
    <t xml:space="preserve">Eden</t>
  </si>
  <si>
    <t xml:space="preserve">김사랑</t>
  </si>
  <si>
    <t xml:space="preserve">Benecia</t>
  </si>
  <si>
    <t xml:space="preserve">박하솜</t>
  </si>
  <si>
    <t xml:space="preserve">Hasom</t>
  </si>
  <si>
    <t xml:space="preserve">이현우</t>
  </si>
  <si>
    <t xml:space="preserve">Harry</t>
  </si>
  <si>
    <t xml:space="preserve">황이안</t>
  </si>
  <si>
    <t xml:space="preserve">Ian</t>
  </si>
  <si>
    <t xml:space="preserve">신민하</t>
  </si>
  <si>
    <t xml:space="preserve">Brooklyn</t>
  </si>
  <si>
    <t xml:space="preserve">이예나</t>
  </si>
  <si>
    <t xml:space="preserve">Eliana</t>
  </si>
  <si>
    <t xml:space="preserve">주이안</t>
  </si>
  <si>
    <t xml:space="preserve">마야</t>
  </si>
  <si>
    <r>
      <rPr>
        <sz val="10"/>
        <rFont val="Noto Sans CJK SC"/>
        <family val="2"/>
      </rPr>
      <t xml:space="preserve">다우닝 </t>
    </r>
    <r>
      <rPr>
        <sz val="10"/>
        <rFont val="Arial"/>
        <family val="0"/>
        <charset val="1"/>
      </rPr>
      <t xml:space="preserve">Maya</t>
    </r>
  </si>
  <si>
    <t xml:space="preserve">이서현</t>
  </si>
  <si>
    <t xml:space="preserve">Elizabeth</t>
  </si>
  <si>
    <t xml:space="preserve">정겨울</t>
  </si>
  <si>
    <t xml:space="preserve">Wynter</t>
  </si>
  <si>
    <t xml:space="preserve">정레인</t>
  </si>
  <si>
    <t xml:space="preserve">Rain</t>
  </si>
  <si>
    <t xml:space="preserve">지수</t>
  </si>
  <si>
    <t xml:space="preserve">Soo</t>
  </si>
  <si>
    <t xml:space="preserve">황시원</t>
  </si>
  <si>
    <t xml:space="preserve">Sean</t>
  </si>
  <si>
    <t xml:space="preserve">강이제</t>
  </si>
  <si>
    <t xml:space="preserve">I Je</t>
  </si>
  <si>
    <t xml:space="preserve">민노엘</t>
  </si>
  <si>
    <t xml:space="preserve">Noel</t>
  </si>
  <si>
    <t xml:space="preserve">엄하율</t>
  </si>
  <si>
    <t xml:space="preserve">Hayule</t>
  </si>
  <si>
    <t xml:space="preserve">임예나</t>
  </si>
  <si>
    <t xml:space="preserve">정세진</t>
  </si>
  <si>
    <t xml:space="preserve">Emma</t>
  </si>
  <si>
    <t xml:space="preserve">황이준</t>
  </si>
  <si>
    <t xml:space="preserve">곽호율</t>
  </si>
  <si>
    <t xml:space="preserve">James</t>
  </si>
  <si>
    <t xml:space="preserve">김서이</t>
  </si>
  <si>
    <t xml:space="preserve">Victoria</t>
  </si>
  <si>
    <r>
      <rPr>
        <b val="true"/>
        <sz val="10"/>
        <rFont val="Noto Sans CJK SC"/>
        <family val="2"/>
      </rPr>
      <t xml:space="preserve">기준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Noto Sans CJK SC"/>
        <family val="2"/>
      </rPr>
      <t xml:space="preserve">부이사장님 「</t>
    </r>
    <r>
      <rPr>
        <b val="true"/>
        <sz val="10"/>
        <rFont val="Arial"/>
        <family val="0"/>
        <charset val="1"/>
      </rPr>
      <t xml:space="preserve">GIA Micro TPC 25-26.xlsx</t>
    </r>
    <r>
      <rPr>
        <b val="true"/>
        <sz val="10"/>
        <rFont val="Noto Sans CJK SC"/>
        <family val="2"/>
      </rPr>
      <t xml:space="preserve">」</t>
    </r>
    <r>
      <rPr>
        <b val="true"/>
        <sz val="10"/>
        <rFont val="Arial"/>
        <family val="0"/>
        <charset val="1"/>
      </rPr>
      <t xml:space="preserve">(1~3</t>
    </r>
    <r>
      <rPr>
        <b val="true"/>
        <sz val="10"/>
        <rFont val="Noto Sans CJK SC"/>
        <family val="2"/>
      </rPr>
      <t xml:space="preserve">학년 시트의 방과후 줄</t>
    </r>
    <r>
      <rPr>
        <b val="true"/>
        <sz val="10"/>
        <rFont val="Arial"/>
        <family val="0"/>
        <charset val="1"/>
      </rPr>
      <t xml:space="preserve">) · </t>
    </r>
    <r>
      <rPr>
        <b val="true"/>
        <sz val="10"/>
        <rFont val="Noto Sans CJK SC"/>
        <family val="2"/>
      </rPr>
      <t xml:space="preserve">앱</t>
    </r>
    <r>
      <rPr>
        <b val="true"/>
        <sz val="10"/>
        <rFont val="Arial"/>
        <family val="0"/>
        <charset val="1"/>
      </rPr>
      <t xml:space="preserve">: gia-ops </t>
    </r>
    <r>
      <rPr>
        <b val="true"/>
        <sz val="10"/>
        <rFont val="Noto Sans CJK SC"/>
        <family val="2"/>
      </rPr>
      <t xml:space="preserve">청구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학비 화면 </t>
    </r>
    <r>
      <rPr>
        <b val="true"/>
        <sz val="10"/>
        <rFont val="Arial"/>
        <family val="0"/>
        <charset val="1"/>
      </rPr>
      <t xml:space="preserve">26-27 1</t>
    </r>
    <r>
      <rPr>
        <b val="true"/>
        <sz val="10"/>
        <rFont val="Noto Sans CJK SC"/>
        <family val="2"/>
      </rPr>
      <t xml:space="preserve">학기</t>
    </r>
    <r>
      <rPr>
        <b val="true"/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</si>
  <si>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반은 무시하고 한글 이름으로만 맞췄습니다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엑셀은 </t>
    </r>
    <r>
      <rPr>
        <sz val="10"/>
        <rFont val="Arial"/>
        <family val="0"/>
        <charset val="1"/>
      </rPr>
      <t xml:space="preserve">25-26</t>
    </r>
    <r>
      <rPr>
        <sz val="10"/>
        <rFont val="Noto Sans CJK SC"/>
        <family val="2"/>
      </rPr>
      <t xml:space="preserve">학년도라 학년이 한 칸 아래입니다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엑셀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학년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앱 </t>
    </r>
    <r>
      <rPr>
        <sz val="10"/>
        <rFont val="Arial"/>
        <family val="0"/>
        <charset val="1"/>
      </rPr>
      <t xml:space="preserve">G2*).</t>
    </r>
  </si>
  <si>
    <r>
      <rPr>
        <sz val="10"/>
        <rFont val="Noto Sans CJK SC"/>
        <family val="2"/>
      </rPr>
      <t xml:space="preserve">「앱 월 환산」은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개월 선납 </t>
    </r>
    <r>
      <rPr>
        <sz val="10"/>
        <rFont val="Arial"/>
        <family val="0"/>
        <charset val="1"/>
      </rPr>
      <t xml:space="preserve">4,050,000 </t>
    </r>
    <r>
      <rPr>
        <sz val="10"/>
        <rFont val="Noto Sans CJK SC"/>
        <family val="2"/>
      </rPr>
      <t xml:space="preserve">같은 총액을 회차로 나눈 값입니다 — 엑셀의 월 금액과 같은 자로 재려고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</si>
</sst>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34155"/>
        <bgColor rgb="FF333399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F1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1F5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1" min="11" style="0" width="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s">
        <v>12</v>
      </c>
      <c r="C2" s="3" t="s">
        <v>13</v>
      </c>
      <c r="D2" s="3" t="s">
        <v>14</v>
      </c>
      <c r="E2" s="4" t="n">
        <v>405000</v>
      </c>
      <c r="F2" s="3" t="s">
        <v>15</v>
      </c>
      <c r="G2" s="2" t="s">
        <v>16</v>
      </c>
      <c r="H2" s="4" t="n">
        <v>450000</v>
      </c>
      <c r="I2" s="4" t="n">
        <f aca="false">IF(OR(E2="",H2=""),"",H2-E2)</f>
        <v>45000</v>
      </c>
      <c r="J2" s="2" t="s">
        <v>17</v>
      </c>
      <c r="K2" s="2" t="s">
        <v>18</v>
      </c>
    </row>
    <row r="3" customFormat="false" ht="15" hidden="false" customHeight="false" outlineLevel="0" collapsed="false">
      <c r="A3" s="2" t="s">
        <v>19</v>
      </c>
      <c r="B3" s="3" t="s">
        <v>20</v>
      </c>
      <c r="C3" s="3" t="s">
        <v>13</v>
      </c>
      <c r="D3" s="3" t="s">
        <v>21</v>
      </c>
      <c r="E3" s="4" t="n">
        <v>225000</v>
      </c>
      <c r="F3" s="3" t="s">
        <v>22</v>
      </c>
      <c r="G3" s="2" t="s">
        <v>16</v>
      </c>
      <c r="H3" s="4" t="n">
        <v>250000</v>
      </c>
      <c r="I3" s="4" t="n">
        <f aca="false">IF(OR(E3="",H3=""),"",H3-E3)</f>
        <v>25000</v>
      </c>
      <c r="J3" s="2" t="s">
        <v>17</v>
      </c>
      <c r="K3" s="2" t="s">
        <v>18</v>
      </c>
    </row>
    <row r="4" customFormat="false" ht="15" hidden="false" customHeight="false" outlineLevel="0" collapsed="false">
      <c r="A4" s="2" t="s">
        <v>23</v>
      </c>
      <c r="B4" s="3" t="s">
        <v>24</v>
      </c>
      <c r="C4" s="3" t="s">
        <v>13</v>
      </c>
      <c r="D4" s="3" t="s">
        <v>14</v>
      </c>
      <c r="E4" s="4" t="n">
        <v>405000</v>
      </c>
      <c r="F4" s="3" t="s">
        <v>15</v>
      </c>
      <c r="G4" s="2" t="s">
        <v>16</v>
      </c>
      <c r="H4" s="4" t="n">
        <v>450000</v>
      </c>
      <c r="I4" s="4" t="n">
        <f aca="false">IF(OR(E4="",H4=""),"",H4-E4)</f>
        <v>45000</v>
      </c>
      <c r="J4" s="2" t="s">
        <v>17</v>
      </c>
      <c r="K4" s="2" t="s">
        <v>18</v>
      </c>
    </row>
    <row r="5" customFormat="false" ht="15" hidden="false" customHeight="false" outlineLevel="0" collapsed="false">
      <c r="A5" s="2" t="s">
        <v>25</v>
      </c>
      <c r="B5" s="3" t="s">
        <v>26</v>
      </c>
      <c r="C5" s="3" t="s">
        <v>13</v>
      </c>
      <c r="D5" s="3" t="s">
        <v>14</v>
      </c>
      <c r="E5" s="4" t="n">
        <v>405000</v>
      </c>
      <c r="F5" s="3" t="s">
        <v>15</v>
      </c>
      <c r="G5" s="2" t="s">
        <v>16</v>
      </c>
      <c r="H5" s="4" t="n">
        <v>450000</v>
      </c>
      <c r="I5" s="4" t="n">
        <f aca="false">IF(OR(E5="",H5=""),"",H5-E5)</f>
        <v>45000</v>
      </c>
      <c r="J5" s="2" t="s">
        <v>17</v>
      </c>
      <c r="K5" s="2" t="s">
        <v>18</v>
      </c>
    </row>
    <row r="6" customFormat="false" ht="15" hidden="false" customHeight="false" outlineLevel="0" collapsed="false">
      <c r="A6" s="2" t="s">
        <v>27</v>
      </c>
      <c r="B6" s="3" t="s">
        <v>28</v>
      </c>
      <c r="C6" s="3" t="s">
        <v>13</v>
      </c>
      <c r="D6" s="3" t="s">
        <v>14</v>
      </c>
      <c r="E6" s="4" t="n">
        <v>405000</v>
      </c>
      <c r="F6" s="3" t="s">
        <v>15</v>
      </c>
      <c r="G6" s="2" t="s">
        <v>16</v>
      </c>
      <c r="H6" s="4" t="n">
        <v>450000</v>
      </c>
      <c r="I6" s="4" t="n">
        <f aca="false">IF(OR(E6="",H6=""),"",H6-E6)</f>
        <v>45000</v>
      </c>
      <c r="J6" s="2" t="s">
        <v>17</v>
      </c>
      <c r="K6" s="2" t="s">
        <v>18</v>
      </c>
    </row>
    <row r="7" customFormat="false" ht="15" hidden="false" customHeight="false" outlineLevel="0" collapsed="false">
      <c r="A7" s="2" t="s">
        <v>29</v>
      </c>
      <c r="B7" s="3" t="s">
        <v>30</v>
      </c>
      <c r="C7" s="3" t="s">
        <v>13</v>
      </c>
      <c r="D7" s="3" t="s">
        <v>14</v>
      </c>
      <c r="E7" s="4" t="n">
        <v>405000</v>
      </c>
      <c r="F7" s="3" t="s">
        <v>15</v>
      </c>
      <c r="G7" s="2" t="s">
        <v>16</v>
      </c>
      <c r="H7" s="4" t="n">
        <v>450000</v>
      </c>
      <c r="I7" s="4" t="n">
        <f aca="false">IF(OR(E7="",H7=""),"",H7-E7)</f>
        <v>45000</v>
      </c>
      <c r="J7" s="2" t="s">
        <v>17</v>
      </c>
      <c r="K7" s="2" t="s">
        <v>18</v>
      </c>
    </row>
    <row r="8" customFormat="false" ht="15" hidden="false" customHeight="false" outlineLevel="0" collapsed="false">
      <c r="A8" s="2" t="s">
        <v>31</v>
      </c>
      <c r="B8" s="3" t="s">
        <v>32</v>
      </c>
      <c r="C8" s="3" t="s">
        <v>13</v>
      </c>
      <c r="D8" s="3" t="s">
        <v>33</v>
      </c>
      <c r="E8" s="4" t="n">
        <v>427500</v>
      </c>
      <c r="F8" s="3" t="s">
        <v>15</v>
      </c>
      <c r="G8" s="2" t="s">
        <v>16</v>
      </c>
      <c r="H8" s="4" t="n">
        <v>450000</v>
      </c>
      <c r="I8" s="4" t="n">
        <f aca="false">IF(OR(E8="",H8=""),"",H8-E8)</f>
        <v>22500</v>
      </c>
      <c r="J8" s="2" t="s">
        <v>17</v>
      </c>
      <c r="K8" s="2" t="s">
        <v>34</v>
      </c>
    </row>
    <row r="9" customFormat="false" ht="15" hidden="false" customHeight="false" outlineLevel="0" collapsed="false">
      <c r="A9" s="2" t="s">
        <v>35</v>
      </c>
      <c r="B9" s="3" t="s">
        <v>36</v>
      </c>
      <c r="C9" s="3" t="s">
        <v>13</v>
      </c>
      <c r="D9" s="3" t="s">
        <v>14</v>
      </c>
      <c r="E9" s="4" t="n">
        <v>405000</v>
      </c>
      <c r="F9" s="3" t="s">
        <v>15</v>
      </c>
      <c r="G9" s="2" t="s">
        <v>16</v>
      </c>
      <c r="H9" s="4" t="n">
        <v>450000</v>
      </c>
      <c r="I9" s="4" t="n">
        <f aca="false">IF(OR(E9="",H9=""),"",H9-E9)</f>
        <v>45000</v>
      </c>
      <c r="J9" s="2" t="s">
        <v>17</v>
      </c>
      <c r="K9" s="2" t="s">
        <v>18</v>
      </c>
    </row>
    <row r="10" customFormat="false" ht="15" hidden="false" customHeight="false" outlineLevel="0" collapsed="false">
      <c r="A10" s="2" t="s">
        <v>37</v>
      </c>
      <c r="B10" s="3" t="s">
        <v>38</v>
      </c>
      <c r="C10" s="3" t="s">
        <v>39</v>
      </c>
      <c r="D10" s="3" t="s">
        <v>14</v>
      </c>
      <c r="E10" s="4" t="n">
        <v>405000</v>
      </c>
      <c r="F10" s="3" t="s">
        <v>15</v>
      </c>
      <c r="G10" s="2" t="s">
        <v>16</v>
      </c>
      <c r="H10" s="4" t="n">
        <v>450000</v>
      </c>
      <c r="I10" s="4" t="n">
        <f aca="false">IF(OR(E10="",H10=""),"",H10-E10)</f>
        <v>45000</v>
      </c>
      <c r="J10" s="2" t="s">
        <v>17</v>
      </c>
      <c r="K10" s="2" t="s">
        <v>18</v>
      </c>
    </row>
    <row r="11" customFormat="false" ht="15" hidden="false" customHeight="false" outlineLevel="0" collapsed="false">
      <c r="A11" s="2" t="s">
        <v>40</v>
      </c>
      <c r="B11" s="3" t="s">
        <v>41</v>
      </c>
      <c r="C11" s="3" t="s">
        <v>39</v>
      </c>
      <c r="D11" s="3" t="s">
        <v>33</v>
      </c>
      <c r="E11" s="4" t="n">
        <v>427500</v>
      </c>
      <c r="F11" s="3" t="s">
        <v>15</v>
      </c>
      <c r="G11" s="2" t="s">
        <v>16</v>
      </c>
      <c r="H11" s="4" t="n">
        <v>450000</v>
      </c>
      <c r="I11" s="4" t="n">
        <f aca="false">IF(OR(E11="",H11=""),"",H11-E11)</f>
        <v>22500</v>
      </c>
      <c r="J11" s="2" t="s">
        <v>17</v>
      </c>
      <c r="K11" s="2" t="s">
        <v>34</v>
      </c>
    </row>
    <row r="12" customFormat="false" ht="15" hidden="false" customHeight="false" outlineLevel="0" collapsed="false">
      <c r="A12" s="2" t="s">
        <v>42</v>
      </c>
      <c r="B12" s="3" t="s">
        <v>43</v>
      </c>
      <c r="C12" s="3" t="s">
        <v>39</v>
      </c>
      <c r="D12" s="3" t="s">
        <v>44</v>
      </c>
      <c r="E12" s="4" t="n">
        <v>450000</v>
      </c>
      <c r="F12" s="3" t="s">
        <v>45</v>
      </c>
      <c r="G12" s="2" t="s">
        <v>16</v>
      </c>
      <c r="H12" s="4" t="n">
        <v>325000</v>
      </c>
      <c r="I12" s="4" t="n">
        <f aca="false">IF(OR(E12="",H12=""),"",H12-E12)</f>
        <v>-125000</v>
      </c>
      <c r="J12" s="2" t="s">
        <v>17</v>
      </c>
      <c r="K12" s="2" t="s">
        <v>46</v>
      </c>
    </row>
    <row r="13" customFormat="false" ht="15" hidden="false" customHeight="false" outlineLevel="0" collapsed="false">
      <c r="A13" s="2" t="s">
        <v>47</v>
      </c>
      <c r="B13" s="3" t="s">
        <v>48</v>
      </c>
      <c r="C13" s="3" t="s">
        <v>39</v>
      </c>
      <c r="D13" s="3" t="s">
        <v>14</v>
      </c>
      <c r="E13" s="4" t="n">
        <v>405000</v>
      </c>
      <c r="F13" s="3" t="s">
        <v>15</v>
      </c>
      <c r="G13" s="2" t="s">
        <v>16</v>
      </c>
      <c r="H13" s="4" t="n">
        <v>450000</v>
      </c>
      <c r="I13" s="4" t="n">
        <f aca="false">IF(OR(E13="",H13=""),"",H13-E13)</f>
        <v>45000</v>
      </c>
      <c r="J13" s="2" t="s">
        <v>17</v>
      </c>
      <c r="K13" s="2" t="s">
        <v>18</v>
      </c>
    </row>
    <row r="14" customFormat="false" ht="15" hidden="false" customHeight="false" outlineLevel="0" collapsed="false">
      <c r="A14" s="2" t="s">
        <v>49</v>
      </c>
      <c r="B14" s="3" t="s">
        <v>50</v>
      </c>
      <c r="C14" s="3" t="s">
        <v>39</v>
      </c>
      <c r="D14" s="3" t="s">
        <v>14</v>
      </c>
      <c r="E14" s="4" t="n">
        <v>405000</v>
      </c>
      <c r="F14" s="2" t="s">
        <v>51</v>
      </c>
      <c r="G14" s="2" t="s">
        <v>51</v>
      </c>
      <c r="H14" s="4"/>
      <c r="I14" s="4" t="str">
        <f aca="false">IF(OR(E14="",H14=""),"",H14-E14)</f>
        <v/>
      </c>
      <c r="J14" s="2" t="s">
        <v>17</v>
      </c>
      <c r="K14" s="2" t="s">
        <v>52</v>
      </c>
    </row>
    <row r="15" customFormat="false" ht="15" hidden="false" customHeight="false" outlineLevel="0" collapsed="false">
      <c r="A15" s="2" t="s">
        <v>53</v>
      </c>
      <c r="B15" s="3" t="s">
        <v>54</v>
      </c>
      <c r="C15" s="3" t="s">
        <v>39</v>
      </c>
      <c r="D15" s="3" t="s">
        <v>55</v>
      </c>
      <c r="E15" s="4" t="n">
        <v>405000</v>
      </c>
      <c r="F15" s="3" t="s">
        <v>15</v>
      </c>
      <c r="G15" s="2" t="s">
        <v>16</v>
      </c>
      <c r="H15" s="4" t="n">
        <v>450000</v>
      </c>
      <c r="I15" s="4" t="n">
        <f aca="false">IF(OR(E15="",H15=""),"",H15-E15)</f>
        <v>45000</v>
      </c>
      <c r="J15" s="2" t="s">
        <v>17</v>
      </c>
      <c r="K15" s="2" t="s">
        <v>18</v>
      </c>
    </row>
    <row r="16" customFormat="false" ht="15" hidden="false" customHeight="false" outlineLevel="0" collapsed="false">
      <c r="A16" s="2" t="s">
        <v>56</v>
      </c>
      <c r="B16" s="3" t="s">
        <v>57</v>
      </c>
      <c r="C16" s="3" t="s">
        <v>39</v>
      </c>
      <c r="D16" s="3" t="s">
        <v>44</v>
      </c>
      <c r="E16" s="4" t="n">
        <v>450000</v>
      </c>
      <c r="F16" s="3" t="s">
        <v>45</v>
      </c>
      <c r="G16" s="2" t="s">
        <v>16</v>
      </c>
      <c r="H16" s="4" t="n">
        <v>325000</v>
      </c>
      <c r="I16" s="4" t="n">
        <f aca="false">IF(OR(E16="",H16=""),"",H16-E16)</f>
        <v>-125000</v>
      </c>
      <c r="J16" s="2" t="s">
        <v>17</v>
      </c>
      <c r="K16" s="2" t="s">
        <v>46</v>
      </c>
    </row>
    <row r="17" customFormat="false" ht="15" hidden="false" customHeight="false" outlineLevel="0" collapsed="false">
      <c r="A17" s="2" t="s">
        <v>58</v>
      </c>
      <c r="B17" s="3" t="s">
        <v>59</v>
      </c>
      <c r="C17" s="3" t="s">
        <v>39</v>
      </c>
      <c r="D17" s="3" t="s">
        <v>33</v>
      </c>
      <c r="E17" s="4" t="n">
        <v>427500</v>
      </c>
      <c r="F17" s="3" t="s">
        <v>15</v>
      </c>
      <c r="G17" s="2" t="s">
        <v>16</v>
      </c>
      <c r="H17" s="4" t="n">
        <v>450000</v>
      </c>
      <c r="I17" s="4" t="n">
        <f aca="false">IF(OR(E17="",H17=""),"",H17-E17)</f>
        <v>22500</v>
      </c>
      <c r="J17" s="2" t="s">
        <v>17</v>
      </c>
      <c r="K17" s="2" t="s">
        <v>34</v>
      </c>
    </row>
    <row r="18" customFormat="false" ht="15" hidden="false" customHeight="false" outlineLevel="0" collapsed="false">
      <c r="A18" s="2" t="s">
        <v>60</v>
      </c>
      <c r="B18" s="3" t="s">
        <v>61</v>
      </c>
      <c r="C18" s="3" t="s">
        <v>62</v>
      </c>
      <c r="D18" s="3" t="s">
        <v>14</v>
      </c>
      <c r="E18" s="4" t="n">
        <v>405000</v>
      </c>
      <c r="F18" s="2" t="s">
        <v>51</v>
      </c>
      <c r="G18" s="2" t="s">
        <v>51</v>
      </c>
      <c r="H18" s="4"/>
      <c r="I18" s="4" t="str">
        <f aca="false">IF(OR(E18="",H18=""),"",H18-E18)</f>
        <v/>
      </c>
      <c r="J18" s="2" t="s">
        <v>17</v>
      </c>
      <c r="K18" s="2" t="s">
        <v>52</v>
      </c>
    </row>
    <row r="19" customFormat="false" ht="15" hidden="false" customHeight="false" outlineLevel="0" collapsed="false">
      <c r="A19" s="2" t="s">
        <v>63</v>
      </c>
      <c r="B19" s="3" t="s">
        <v>64</v>
      </c>
      <c r="C19" s="3" t="s">
        <v>62</v>
      </c>
      <c r="D19" s="3" t="s">
        <v>14</v>
      </c>
      <c r="E19" s="4" t="n">
        <v>405000</v>
      </c>
      <c r="F19" s="3" t="s">
        <v>15</v>
      </c>
      <c r="G19" s="2" t="s">
        <v>16</v>
      </c>
      <c r="H19" s="4" t="n">
        <v>450000</v>
      </c>
      <c r="I19" s="4" t="n">
        <f aca="false">IF(OR(E19="",H19=""),"",H19-E19)</f>
        <v>45000</v>
      </c>
      <c r="J19" s="2" t="s">
        <v>17</v>
      </c>
      <c r="K19" s="2" t="s">
        <v>18</v>
      </c>
    </row>
    <row r="20" customFormat="false" ht="15" hidden="false" customHeight="false" outlineLevel="0" collapsed="false">
      <c r="A20" s="2" t="s">
        <v>65</v>
      </c>
      <c r="B20" s="3" t="s">
        <v>66</v>
      </c>
      <c r="C20" s="3" t="s">
        <v>62</v>
      </c>
      <c r="D20" s="3" t="s">
        <v>67</v>
      </c>
      <c r="E20" s="4" t="n">
        <v>405000</v>
      </c>
      <c r="F20" s="3" t="s">
        <v>15</v>
      </c>
      <c r="G20" s="2" t="s">
        <v>16</v>
      </c>
      <c r="H20" s="4" t="n">
        <v>450000</v>
      </c>
      <c r="I20" s="4" t="n">
        <f aca="false">IF(OR(E20="",H20=""),"",H20-E20)</f>
        <v>45000</v>
      </c>
      <c r="J20" s="2" t="s">
        <v>17</v>
      </c>
      <c r="K20" s="2" t="s">
        <v>18</v>
      </c>
    </row>
    <row r="21" customFormat="false" ht="15" hidden="false" customHeight="false" outlineLevel="0" collapsed="false">
      <c r="A21" s="2" t="s">
        <v>68</v>
      </c>
      <c r="B21" s="3" t="s">
        <v>69</v>
      </c>
      <c r="C21" s="3" t="s">
        <v>62</v>
      </c>
      <c r="D21" s="3" t="s">
        <v>33</v>
      </c>
      <c r="E21" s="4" t="n">
        <v>427500</v>
      </c>
      <c r="F21" s="2" t="s">
        <v>51</v>
      </c>
      <c r="G21" s="2" t="s">
        <v>51</v>
      </c>
      <c r="H21" s="4"/>
      <c r="I21" s="4" t="str">
        <f aca="false">IF(OR(E21="",H21=""),"",H21-E21)</f>
        <v/>
      </c>
      <c r="J21" s="2" t="s">
        <v>17</v>
      </c>
      <c r="K21" s="2" t="s">
        <v>52</v>
      </c>
    </row>
    <row r="22" customFormat="false" ht="15" hidden="false" customHeight="false" outlineLevel="0" collapsed="false">
      <c r="A22" s="2" t="s">
        <v>70</v>
      </c>
      <c r="B22" s="3" t="s">
        <v>71</v>
      </c>
      <c r="C22" s="3" t="s">
        <v>62</v>
      </c>
      <c r="D22" s="3" t="s">
        <v>33</v>
      </c>
      <c r="E22" s="4" t="n">
        <v>427500</v>
      </c>
      <c r="F22" s="3" t="s">
        <v>15</v>
      </c>
      <c r="G22" s="2" t="s">
        <v>16</v>
      </c>
      <c r="H22" s="4" t="n">
        <v>450000</v>
      </c>
      <c r="I22" s="4" t="n">
        <f aca="false">IF(OR(E22="",H22=""),"",H22-E22)</f>
        <v>22500</v>
      </c>
      <c r="J22" s="2" t="s">
        <v>17</v>
      </c>
      <c r="K22" s="2" t="s">
        <v>34</v>
      </c>
    </row>
    <row r="23" customFormat="false" ht="15" hidden="false" customHeight="false" outlineLevel="0" collapsed="false">
      <c r="A23" s="2" t="s">
        <v>72</v>
      </c>
      <c r="B23" s="3" t="s">
        <v>73</v>
      </c>
      <c r="C23" s="3" t="s">
        <v>62</v>
      </c>
      <c r="D23" s="3" t="s">
        <v>33</v>
      </c>
      <c r="E23" s="4" t="n">
        <v>405000</v>
      </c>
      <c r="F23" s="3" t="s">
        <v>15</v>
      </c>
      <c r="G23" s="2" t="s">
        <v>16</v>
      </c>
      <c r="H23" s="4" t="n">
        <v>450000</v>
      </c>
      <c r="I23" s="4" t="n">
        <f aca="false">IF(OR(E23="",H23=""),"",H23-E23)</f>
        <v>45000</v>
      </c>
      <c r="J23" s="2" t="s">
        <v>17</v>
      </c>
      <c r="K23" s="2" t="s">
        <v>18</v>
      </c>
    </row>
    <row r="24" customFormat="false" ht="15" hidden="false" customHeight="false" outlineLevel="0" collapsed="false">
      <c r="A24" s="2" t="s">
        <v>74</v>
      </c>
      <c r="B24" s="3" t="s">
        <v>75</v>
      </c>
      <c r="C24" s="3" t="s">
        <v>62</v>
      </c>
      <c r="D24" s="3" t="s">
        <v>14</v>
      </c>
      <c r="E24" s="4" t="n">
        <v>405000</v>
      </c>
      <c r="F24" s="3" t="s">
        <v>15</v>
      </c>
      <c r="G24" s="2" t="s">
        <v>16</v>
      </c>
      <c r="H24" s="4" t="n">
        <v>450000</v>
      </c>
      <c r="I24" s="4" t="n">
        <f aca="false">IF(OR(E24="",H24=""),"",H24-E24)</f>
        <v>45000</v>
      </c>
      <c r="J24" s="2" t="s">
        <v>17</v>
      </c>
      <c r="K24" s="2" t="s">
        <v>18</v>
      </c>
    </row>
    <row r="25" customFormat="false" ht="15" hidden="false" customHeight="false" outlineLevel="0" collapsed="false">
      <c r="A25" s="2" t="s">
        <v>76</v>
      </c>
      <c r="B25" s="3" t="s">
        <v>30</v>
      </c>
      <c r="C25" s="3" t="s">
        <v>62</v>
      </c>
      <c r="D25" s="3" t="s">
        <v>33</v>
      </c>
      <c r="E25" s="4" t="n">
        <v>427500</v>
      </c>
      <c r="F25" s="2" t="s">
        <v>51</v>
      </c>
      <c r="G25" s="2" t="s">
        <v>51</v>
      </c>
      <c r="H25" s="4"/>
      <c r="I25" s="4" t="str">
        <f aca="false">IF(OR(E25="",H25=""),"",H25-E25)</f>
        <v/>
      </c>
      <c r="J25" s="2" t="s">
        <v>17</v>
      </c>
      <c r="K25" s="2" t="s">
        <v>52</v>
      </c>
    </row>
    <row r="26" customFormat="false" ht="15" hidden="false" customHeight="false" outlineLevel="0" collapsed="false">
      <c r="A26" s="2" t="s">
        <v>77</v>
      </c>
      <c r="B26" s="3" t="s">
        <v>78</v>
      </c>
      <c r="C26" s="3" t="s">
        <v>79</v>
      </c>
      <c r="D26" s="3" t="s">
        <v>80</v>
      </c>
      <c r="E26" s="4" t="n">
        <v>0</v>
      </c>
      <c r="F26" s="3" t="s">
        <v>15</v>
      </c>
      <c r="G26" s="2" t="s">
        <v>16</v>
      </c>
      <c r="H26" s="4" t="n">
        <v>450000</v>
      </c>
      <c r="I26" s="4" t="n">
        <f aca="false">IF(OR(E26="",H26=""),"",H26-E26)</f>
        <v>450000</v>
      </c>
      <c r="J26" s="2" t="s">
        <v>17</v>
      </c>
      <c r="K26" s="2" t="s">
        <v>81</v>
      </c>
    </row>
    <row r="27" customFormat="false" ht="15" hidden="false" customHeight="false" outlineLevel="0" collapsed="false">
      <c r="A27" s="2" t="s">
        <v>82</v>
      </c>
      <c r="B27" s="3" t="s">
        <v>83</v>
      </c>
      <c r="C27" s="3" t="s">
        <v>79</v>
      </c>
      <c r="D27" s="3" t="s">
        <v>80</v>
      </c>
      <c r="E27" s="4" t="n">
        <v>450000</v>
      </c>
      <c r="F27" s="3" t="s">
        <v>22</v>
      </c>
      <c r="G27" s="2" t="s">
        <v>16</v>
      </c>
      <c r="H27" s="4" t="n">
        <v>250000</v>
      </c>
      <c r="I27" s="4" t="n">
        <f aca="false">IF(OR(E27="",H27=""),"",H27-E27)</f>
        <v>-200000</v>
      </c>
      <c r="J27" s="2" t="s">
        <v>17</v>
      </c>
      <c r="K27" s="2" t="s">
        <v>84</v>
      </c>
    </row>
    <row r="28" customFormat="false" ht="15" hidden="false" customHeight="false" outlineLevel="0" collapsed="false">
      <c r="A28" s="2" t="s">
        <v>85</v>
      </c>
      <c r="B28" s="3" t="s">
        <v>54</v>
      </c>
      <c r="C28" s="3" t="s">
        <v>79</v>
      </c>
      <c r="D28" s="3" t="s">
        <v>55</v>
      </c>
      <c r="E28" s="4" t="n">
        <v>427500</v>
      </c>
      <c r="F28" s="3" t="s">
        <v>15</v>
      </c>
      <c r="G28" s="2" t="s">
        <v>16</v>
      </c>
      <c r="H28" s="4" t="n">
        <v>450000</v>
      </c>
      <c r="I28" s="4" t="n">
        <f aca="false">IF(OR(E28="",H28=""),"",H28-E28)</f>
        <v>22500</v>
      </c>
      <c r="J28" s="2" t="s">
        <v>17</v>
      </c>
      <c r="K28" s="2" t="s">
        <v>34</v>
      </c>
    </row>
    <row r="29" customFormat="false" ht="15" hidden="false" customHeight="false" outlineLevel="0" collapsed="false">
      <c r="A29" s="2" t="s">
        <v>86</v>
      </c>
      <c r="B29" s="3" t="s">
        <v>87</v>
      </c>
      <c r="C29" s="3" t="s">
        <v>79</v>
      </c>
      <c r="D29" s="3" t="s">
        <v>80</v>
      </c>
      <c r="E29" s="4" t="n">
        <v>450000</v>
      </c>
      <c r="F29" s="2" t="s">
        <v>51</v>
      </c>
      <c r="G29" s="2" t="s">
        <v>51</v>
      </c>
      <c r="H29" s="4"/>
      <c r="I29" s="4" t="str">
        <f aca="false">IF(OR(E29="",H29=""),"",H29-E29)</f>
        <v/>
      </c>
      <c r="J29" s="2" t="s">
        <v>17</v>
      </c>
      <c r="K29" s="2" t="s">
        <v>52</v>
      </c>
    </row>
    <row r="30" customFormat="false" ht="15" hidden="false" customHeight="false" outlineLevel="0" collapsed="false">
      <c r="A30" s="2" t="s">
        <v>88</v>
      </c>
      <c r="B30" s="3" t="s">
        <v>89</v>
      </c>
      <c r="C30" s="3" t="s">
        <v>79</v>
      </c>
      <c r="D30" s="3" t="s">
        <v>80</v>
      </c>
      <c r="E30" s="4" t="n">
        <v>0</v>
      </c>
      <c r="F30" s="3" t="s">
        <v>15</v>
      </c>
      <c r="G30" s="2" t="s">
        <v>16</v>
      </c>
      <c r="H30" s="4" t="n">
        <v>450000</v>
      </c>
      <c r="I30" s="4" t="n">
        <f aca="false">IF(OR(E30="",H30=""),"",H30-E30)</f>
        <v>450000</v>
      </c>
      <c r="J30" s="2" t="s">
        <v>17</v>
      </c>
      <c r="K30" s="2" t="s">
        <v>81</v>
      </c>
    </row>
    <row r="31" customFormat="false" ht="15" hidden="false" customHeight="false" outlineLevel="0" collapsed="false">
      <c r="A31" s="2" t="s">
        <v>90</v>
      </c>
      <c r="B31" s="3" t="s">
        <v>91</v>
      </c>
      <c r="C31" s="3" t="s">
        <v>92</v>
      </c>
      <c r="D31" s="3" t="s">
        <v>80</v>
      </c>
      <c r="E31" s="4" t="n">
        <v>450000</v>
      </c>
      <c r="F31" s="2" t="s">
        <v>51</v>
      </c>
      <c r="G31" s="2" t="s">
        <v>51</v>
      </c>
      <c r="H31" s="4"/>
      <c r="I31" s="4" t="str">
        <f aca="false">IF(OR(E31="",H31=""),"",H31-E31)</f>
        <v/>
      </c>
      <c r="J31" s="2" t="s">
        <v>17</v>
      </c>
      <c r="K31" s="2" t="s">
        <v>52</v>
      </c>
    </row>
    <row r="32" customFormat="false" ht="15" hidden="false" customHeight="false" outlineLevel="0" collapsed="false">
      <c r="A32" s="2" t="s">
        <v>93</v>
      </c>
      <c r="B32" s="3" t="s">
        <v>30</v>
      </c>
      <c r="C32" s="3" t="s">
        <v>92</v>
      </c>
      <c r="D32" s="3" t="s">
        <v>55</v>
      </c>
      <c r="E32" s="4" t="n">
        <v>427500</v>
      </c>
      <c r="F32" s="3" t="s">
        <v>15</v>
      </c>
      <c r="G32" s="2" t="s">
        <v>16</v>
      </c>
      <c r="H32" s="4" t="n">
        <v>450000</v>
      </c>
      <c r="I32" s="4" t="n">
        <f aca="false">IF(OR(E32="",H32=""),"",H32-E32)</f>
        <v>22500</v>
      </c>
      <c r="J32" s="2" t="s">
        <v>17</v>
      </c>
      <c r="K32" s="2" t="s">
        <v>34</v>
      </c>
    </row>
    <row r="33" customFormat="false" ht="15" hidden="false" customHeight="false" outlineLevel="0" collapsed="false">
      <c r="A33" s="2" t="s">
        <v>94</v>
      </c>
      <c r="B33" s="3" t="s">
        <v>95</v>
      </c>
      <c r="C33" s="3" t="s">
        <v>92</v>
      </c>
      <c r="D33" s="3" t="s">
        <v>80</v>
      </c>
      <c r="E33" s="4" t="n">
        <v>450000</v>
      </c>
      <c r="F33" s="3" t="s">
        <v>22</v>
      </c>
      <c r="G33" s="2" t="s">
        <v>16</v>
      </c>
      <c r="H33" s="4" t="n">
        <v>250000</v>
      </c>
      <c r="I33" s="4" t="n">
        <f aca="false">IF(OR(E33="",H33=""),"",H33-E33)</f>
        <v>-200000</v>
      </c>
      <c r="J33" s="2" t="s">
        <v>17</v>
      </c>
      <c r="K33" s="2" t="s">
        <v>84</v>
      </c>
    </row>
    <row r="34" customFormat="false" ht="15" hidden="false" customHeight="false" outlineLevel="0" collapsed="false">
      <c r="A34" s="2" t="s">
        <v>96</v>
      </c>
      <c r="B34" s="3" t="s">
        <v>97</v>
      </c>
      <c r="C34" s="3" t="s">
        <v>92</v>
      </c>
      <c r="D34" s="3" t="s">
        <v>80</v>
      </c>
      <c r="E34" s="4" t="n">
        <v>450000</v>
      </c>
      <c r="F34" s="3" t="s">
        <v>45</v>
      </c>
      <c r="G34" s="2" t="s">
        <v>16</v>
      </c>
      <c r="H34" s="4" t="n">
        <v>325000</v>
      </c>
      <c r="I34" s="4" t="n">
        <f aca="false">IF(OR(E34="",H34=""),"",H34-E34)</f>
        <v>-125000</v>
      </c>
      <c r="J34" s="2" t="s">
        <v>17</v>
      </c>
      <c r="K34" s="2" t="s">
        <v>46</v>
      </c>
    </row>
    <row r="35" customFormat="false" ht="15" hidden="false" customHeight="false" outlineLevel="0" collapsed="false">
      <c r="A35" s="2" t="s">
        <v>98</v>
      </c>
      <c r="B35" s="3" t="s">
        <v>99</v>
      </c>
      <c r="C35" s="3" t="s">
        <v>92</v>
      </c>
      <c r="D35" s="3" t="s">
        <v>80</v>
      </c>
      <c r="E35" s="4" t="n">
        <v>450000</v>
      </c>
      <c r="F35" s="3" t="s">
        <v>22</v>
      </c>
      <c r="G35" s="2" t="s">
        <v>16</v>
      </c>
      <c r="H35" s="4" t="n">
        <v>250000</v>
      </c>
      <c r="I35" s="4" t="n">
        <f aca="false">IF(OR(E35="",H35=""),"",H35-E35)</f>
        <v>-200000</v>
      </c>
      <c r="J35" s="2" t="s">
        <v>17</v>
      </c>
      <c r="K35" s="2" t="s">
        <v>84</v>
      </c>
    </row>
    <row r="36" customFormat="false" ht="15" hidden="false" customHeight="false" outlineLevel="0" collapsed="false">
      <c r="A36" s="2" t="s">
        <v>100</v>
      </c>
      <c r="B36" s="3" t="s">
        <v>101</v>
      </c>
      <c r="C36" s="3" t="s">
        <v>92</v>
      </c>
      <c r="D36" s="3" t="s">
        <v>80</v>
      </c>
      <c r="E36" s="4" t="n">
        <v>450000</v>
      </c>
      <c r="F36" s="3" t="s">
        <v>45</v>
      </c>
      <c r="G36" s="2" t="s">
        <v>16</v>
      </c>
      <c r="H36" s="4" t="n">
        <v>325000</v>
      </c>
      <c r="I36" s="4" t="n">
        <f aca="false">IF(OR(E36="",H36=""),"",H36-E36)</f>
        <v>-125000</v>
      </c>
      <c r="J36" s="2" t="s">
        <v>17</v>
      </c>
      <c r="K36" s="2" t="s">
        <v>46</v>
      </c>
    </row>
    <row r="37" customFormat="false" ht="15" hidden="false" customHeight="false" outlineLevel="0" collapsed="false">
      <c r="A37" s="2" t="s">
        <v>102</v>
      </c>
      <c r="B37" s="3" t="s">
        <v>103</v>
      </c>
      <c r="C37" s="3" t="s">
        <v>92</v>
      </c>
      <c r="D37" s="3" t="s">
        <v>80</v>
      </c>
      <c r="E37" s="4" t="n">
        <v>450000</v>
      </c>
      <c r="F37" s="3" t="s">
        <v>22</v>
      </c>
      <c r="G37" s="2" t="s">
        <v>16</v>
      </c>
      <c r="H37" s="4" t="n">
        <v>250000</v>
      </c>
      <c r="I37" s="4" t="n">
        <f aca="false">IF(OR(E37="",H37=""),"",H37-E37)</f>
        <v>-200000</v>
      </c>
      <c r="J37" s="2" t="s">
        <v>17</v>
      </c>
      <c r="K37" s="2" t="s">
        <v>84</v>
      </c>
    </row>
    <row r="38" customFormat="false" ht="15" hidden="false" customHeight="false" outlineLevel="0" collapsed="false">
      <c r="A38" s="2" t="s">
        <v>104</v>
      </c>
      <c r="B38" s="3" t="s">
        <v>105</v>
      </c>
      <c r="C38" s="3" t="s">
        <v>92</v>
      </c>
      <c r="D38" s="3" t="s">
        <v>80</v>
      </c>
      <c r="E38" s="4" t="n">
        <v>450000</v>
      </c>
      <c r="F38" s="3" t="s">
        <v>22</v>
      </c>
      <c r="G38" s="2" t="s">
        <v>16</v>
      </c>
      <c r="H38" s="4" t="n">
        <v>250000</v>
      </c>
      <c r="I38" s="4" t="n">
        <f aca="false">IF(OR(E38="",H38=""),"",H38-E38)</f>
        <v>-200000</v>
      </c>
      <c r="J38" s="2" t="s">
        <v>17</v>
      </c>
      <c r="K38" s="2" t="s">
        <v>84</v>
      </c>
    </row>
    <row r="39" customFormat="false" ht="15" hidden="false" customHeight="false" outlineLevel="0" collapsed="false">
      <c r="A39" s="2" t="s">
        <v>106</v>
      </c>
      <c r="B39" s="3" t="s">
        <v>107</v>
      </c>
      <c r="C39" s="3" t="s">
        <v>108</v>
      </c>
      <c r="D39" s="3" t="s">
        <v>109</v>
      </c>
      <c r="E39" s="4" t="n">
        <v>0</v>
      </c>
      <c r="F39" s="3" t="s">
        <v>15</v>
      </c>
      <c r="G39" s="2" t="s">
        <v>16</v>
      </c>
      <c r="H39" s="4" t="n">
        <v>450000</v>
      </c>
      <c r="I39" s="4" t="n">
        <f aca="false">IF(OR(E39="",H39=""),"",H39-E39)</f>
        <v>450000</v>
      </c>
      <c r="J39" s="2" t="s">
        <v>17</v>
      </c>
      <c r="K39" s="2" t="s">
        <v>81</v>
      </c>
    </row>
    <row r="40" customFormat="false" ht="15" hidden="false" customHeight="false" outlineLevel="0" collapsed="false">
      <c r="A40" s="2" t="s">
        <v>110</v>
      </c>
      <c r="B40" s="3" t="s">
        <v>111</v>
      </c>
      <c r="C40" s="3" t="s">
        <v>108</v>
      </c>
      <c r="D40" s="3" t="s">
        <v>55</v>
      </c>
      <c r="E40" s="4" t="n">
        <v>427500</v>
      </c>
      <c r="F40" s="3" t="s">
        <v>15</v>
      </c>
      <c r="G40" s="2" t="s">
        <v>16</v>
      </c>
      <c r="H40" s="4" t="n">
        <v>450000</v>
      </c>
      <c r="I40" s="4" t="n">
        <f aca="false">IF(OR(E40="",H40=""),"",H40-E40)</f>
        <v>22500</v>
      </c>
      <c r="J40" s="2" t="s">
        <v>17</v>
      </c>
      <c r="K40" s="2" t="s">
        <v>34</v>
      </c>
    </row>
    <row r="41" customFormat="false" ht="15" hidden="false" customHeight="false" outlineLevel="0" collapsed="false">
      <c r="A41" s="2" t="s">
        <v>112</v>
      </c>
      <c r="B41" s="3" t="s">
        <v>113</v>
      </c>
      <c r="C41" s="3" t="s">
        <v>108</v>
      </c>
      <c r="D41" s="3" t="s">
        <v>114</v>
      </c>
      <c r="E41" s="4" t="n">
        <v>0</v>
      </c>
      <c r="F41" s="3" t="s">
        <v>45</v>
      </c>
      <c r="G41" s="2" t="s">
        <v>16</v>
      </c>
      <c r="H41" s="4" t="n">
        <v>325000</v>
      </c>
      <c r="I41" s="4" t="n">
        <f aca="false">IF(OR(E41="",H41=""),"",H41-E41)</f>
        <v>325000</v>
      </c>
      <c r="J41" s="2" t="s">
        <v>17</v>
      </c>
      <c r="K41" s="2" t="s">
        <v>81</v>
      </c>
    </row>
    <row r="42" customFormat="false" ht="15" hidden="false" customHeight="false" outlineLevel="0" collapsed="false">
      <c r="A42" s="2" t="s">
        <v>115</v>
      </c>
      <c r="B42" s="3" t="s">
        <v>116</v>
      </c>
      <c r="C42" s="3" t="s">
        <v>108</v>
      </c>
      <c r="D42" s="3" t="s">
        <v>55</v>
      </c>
      <c r="E42" s="4" t="n">
        <v>427500</v>
      </c>
      <c r="F42" s="3" t="s">
        <v>15</v>
      </c>
      <c r="G42" s="2" t="s">
        <v>16</v>
      </c>
      <c r="H42" s="4" t="n">
        <v>450000</v>
      </c>
      <c r="I42" s="4" t="n">
        <f aca="false">IF(OR(E42="",H42=""),"",H42-E42)</f>
        <v>22500</v>
      </c>
      <c r="J42" s="2" t="s">
        <v>17</v>
      </c>
      <c r="K42" s="2" t="s">
        <v>34</v>
      </c>
    </row>
    <row r="43" customFormat="false" ht="15" hidden="false" customHeight="false" outlineLevel="0" collapsed="false">
      <c r="A43" s="2" t="s">
        <v>117</v>
      </c>
      <c r="B43" s="3" t="s">
        <v>118</v>
      </c>
      <c r="C43" s="3" t="s">
        <v>108</v>
      </c>
      <c r="D43" s="3" t="s">
        <v>119</v>
      </c>
      <c r="E43" s="4" t="n">
        <v>427500</v>
      </c>
      <c r="F43" s="3" t="s">
        <v>15</v>
      </c>
      <c r="G43" s="2" t="s">
        <v>16</v>
      </c>
      <c r="H43" s="4" t="n">
        <v>450000</v>
      </c>
      <c r="I43" s="4" t="n">
        <f aca="false">IF(OR(E43="",H43=""),"",H43-E43)</f>
        <v>22500</v>
      </c>
      <c r="J43" s="2" t="s">
        <v>17</v>
      </c>
      <c r="K43" s="2" t="s">
        <v>34</v>
      </c>
    </row>
    <row r="44" customFormat="false" ht="15" hidden="false" customHeight="false" outlineLevel="0" collapsed="false">
      <c r="A44" s="2" t="s">
        <v>120</v>
      </c>
      <c r="B44" s="3" t="s">
        <v>121</v>
      </c>
      <c r="C44" s="3" t="s">
        <v>108</v>
      </c>
      <c r="D44" s="3" t="s">
        <v>55</v>
      </c>
      <c r="E44" s="4" t="n">
        <v>427500</v>
      </c>
      <c r="F44" s="2" t="s">
        <v>51</v>
      </c>
      <c r="G44" s="2" t="s">
        <v>51</v>
      </c>
      <c r="H44" s="4"/>
      <c r="I44" s="4" t="str">
        <f aca="false">IF(OR(E44="",H44=""),"",H44-E44)</f>
        <v/>
      </c>
      <c r="J44" s="2" t="s">
        <v>17</v>
      </c>
      <c r="K44" s="2" t="s">
        <v>52</v>
      </c>
    </row>
    <row r="45" customFormat="false" ht="15" hidden="false" customHeight="false" outlineLevel="0" collapsed="false">
      <c r="A45" s="2" t="s">
        <v>122</v>
      </c>
      <c r="B45" s="3" t="s">
        <v>123</v>
      </c>
      <c r="C45" s="3" t="s">
        <v>108</v>
      </c>
      <c r="D45" s="3" t="s">
        <v>80</v>
      </c>
      <c r="E45" s="4" t="n">
        <v>450000</v>
      </c>
      <c r="F45" s="2" t="s">
        <v>51</v>
      </c>
      <c r="G45" s="2" t="s">
        <v>51</v>
      </c>
      <c r="H45" s="4"/>
      <c r="I45" s="4" t="str">
        <f aca="false">IF(OR(E45="",H45=""),"",H45-E45)</f>
        <v/>
      </c>
      <c r="J45" s="2" t="s">
        <v>17</v>
      </c>
      <c r="K45" s="2" t="s">
        <v>52</v>
      </c>
    </row>
    <row r="46" customFormat="false" ht="15" hidden="false" customHeight="false" outlineLevel="0" collapsed="false">
      <c r="A46" s="2" t="s">
        <v>124</v>
      </c>
      <c r="B46" s="3" t="s">
        <v>125</v>
      </c>
      <c r="C46" s="3" t="s">
        <v>126</v>
      </c>
      <c r="D46" s="3" t="s">
        <v>80</v>
      </c>
      <c r="E46" s="4" t="n">
        <v>450000</v>
      </c>
      <c r="F46" s="2" t="s">
        <v>51</v>
      </c>
      <c r="G46" s="2" t="s">
        <v>51</v>
      </c>
      <c r="H46" s="4"/>
      <c r="I46" s="4" t="str">
        <f aca="false">IF(OR(E46="",H46=""),"",H46-E46)</f>
        <v/>
      </c>
      <c r="J46" s="2" t="s">
        <v>17</v>
      </c>
      <c r="K46" s="2" t="s">
        <v>52</v>
      </c>
    </row>
    <row r="47" customFormat="false" ht="15" hidden="false" customHeight="false" outlineLevel="0" collapsed="false">
      <c r="A47" s="2" t="s">
        <v>127</v>
      </c>
      <c r="B47" s="3" t="s">
        <v>128</v>
      </c>
      <c r="C47" s="3" t="s">
        <v>126</v>
      </c>
      <c r="D47" s="3" t="s">
        <v>55</v>
      </c>
      <c r="E47" s="4" t="n">
        <v>427500</v>
      </c>
      <c r="F47" s="3" t="s">
        <v>15</v>
      </c>
      <c r="G47" s="3" t="s">
        <v>129</v>
      </c>
      <c r="H47" s="4" t="n">
        <v>405000</v>
      </c>
      <c r="I47" s="4" t="n">
        <f aca="false">IF(OR(E47="",H47=""),"",H47-E47)</f>
        <v>-22500</v>
      </c>
      <c r="J47" s="2" t="s">
        <v>17</v>
      </c>
      <c r="K47" s="2" t="s">
        <v>130</v>
      </c>
    </row>
    <row r="48" customFormat="false" ht="15" hidden="false" customHeight="false" outlineLevel="0" collapsed="false">
      <c r="A48" s="2" t="s">
        <v>131</v>
      </c>
      <c r="B48" s="3" t="s">
        <v>132</v>
      </c>
      <c r="C48" s="3" t="s">
        <v>126</v>
      </c>
      <c r="D48" s="3" t="s">
        <v>55</v>
      </c>
      <c r="E48" s="4" t="n">
        <v>427500</v>
      </c>
      <c r="F48" s="3" t="s">
        <v>45</v>
      </c>
      <c r="G48" s="2" t="s">
        <v>16</v>
      </c>
      <c r="H48" s="4" t="n">
        <v>325000</v>
      </c>
      <c r="I48" s="4" t="n">
        <f aca="false">IF(OR(E48="",H48=""),"",H48-E48)</f>
        <v>-102500</v>
      </c>
      <c r="J48" s="2" t="s">
        <v>17</v>
      </c>
      <c r="K48" s="2" t="s">
        <v>133</v>
      </c>
    </row>
    <row r="49" customFormat="false" ht="15" hidden="false" customHeight="false" outlineLevel="0" collapsed="false">
      <c r="A49" s="2" t="s">
        <v>134</v>
      </c>
      <c r="B49" s="3" t="s">
        <v>135</v>
      </c>
      <c r="C49" s="3" t="s">
        <v>126</v>
      </c>
      <c r="D49" s="3" t="s">
        <v>55</v>
      </c>
      <c r="E49" s="4" t="n">
        <v>427500</v>
      </c>
      <c r="F49" s="3" t="s">
        <v>15</v>
      </c>
      <c r="G49" s="2" t="s">
        <v>16</v>
      </c>
      <c r="H49" s="4" t="n">
        <v>450000</v>
      </c>
      <c r="I49" s="4" t="n">
        <f aca="false">IF(OR(E49="",H49=""),"",H49-E49)</f>
        <v>22500</v>
      </c>
      <c r="J49" s="2" t="s">
        <v>17</v>
      </c>
      <c r="K49" s="2" t="s">
        <v>34</v>
      </c>
    </row>
    <row r="50" customFormat="false" ht="15" hidden="false" customHeight="false" outlineLevel="0" collapsed="false">
      <c r="A50" s="2" t="s">
        <v>136</v>
      </c>
      <c r="B50" s="3" t="s">
        <v>137</v>
      </c>
      <c r="C50" s="3" t="s">
        <v>126</v>
      </c>
      <c r="D50" s="3" t="s">
        <v>55</v>
      </c>
      <c r="E50" s="4" t="n">
        <v>427500</v>
      </c>
      <c r="F50" s="3" t="s">
        <v>22</v>
      </c>
      <c r="G50" s="2" t="s">
        <v>16</v>
      </c>
      <c r="H50" s="4" t="n">
        <v>250000</v>
      </c>
      <c r="I50" s="4" t="n">
        <f aca="false">IF(OR(E50="",H50=""),"",H50-E50)</f>
        <v>-177500</v>
      </c>
      <c r="J50" s="2" t="s">
        <v>17</v>
      </c>
      <c r="K50" s="2" t="s">
        <v>133</v>
      </c>
    </row>
    <row r="51" customFormat="false" ht="15" hidden="false" customHeight="false" outlineLevel="0" collapsed="false">
      <c r="A51" s="2" t="s">
        <v>138</v>
      </c>
      <c r="B51" s="3" t="s">
        <v>139</v>
      </c>
      <c r="C51" s="3" t="s">
        <v>126</v>
      </c>
      <c r="D51" s="3" t="s">
        <v>55</v>
      </c>
      <c r="E51" s="4" t="n">
        <v>405000</v>
      </c>
      <c r="F51" s="3" t="s">
        <v>15</v>
      </c>
      <c r="G51" s="2" t="s">
        <v>16</v>
      </c>
      <c r="H51" s="4" t="n">
        <v>450000</v>
      </c>
      <c r="I51" s="4" t="n">
        <f aca="false">IF(OR(E51="",H51=""),"",H51-E51)</f>
        <v>45000</v>
      </c>
      <c r="J51" s="2" t="s">
        <v>17</v>
      </c>
      <c r="K51" s="2" t="s">
        <v>18</v>
      </c>
    </row>
    <row r="52" customFormat="false" ht="15" hidden="false" customHeight="false" outlineLevel="0" collapsed="false">
      <c r="A52" s="2" t="s">
        <v>140</v>
      </c>
      <c r="B52" s="3" t="s">
        <v>141</v>
      </c>
      <c r="C52" s="3" t="s">
        <v>126</v>
      </c>
      <c r="D52" s="3" t="s">
        <v>55</v>
      </c>
      <c r="E52" s="4" t="n">
        <v>427500</v>
      </c>
      <c r="F52" s="3" t="s">
        <v>15</v>
      </c>
      <c r="G52" s="2" t="s">
        <v>16</v>
      </c>
      <c r="H52" s="4" t="n">
        <v>450000</v>
      </c>
      <c r="I52" s="4" t="n">
        <f aca="false">IF(OR(E52="",H52=""),"",H52-E52)</f>
        <v>22500</v>
      </c>
      <c r="J52" s="2" t="s">
        <v>17</v>
      </c>
      <c r="K52" s="2" t="s">
        <v>34</v>
      </c>
    </row>
    <row r="53" customFormat="false" ht="15" hidden="false" customHeight="false" outlineLevel="0" collapsed="false">
      <c r="A53" s="5" t="s">
        <v>142</v>
      </c>
      <c r="B53" s="6" t="s">
        <v>143</v>
      </c>
      <c r="C53" s="6" t="s">
        <v>79</v>
      </c>
      <c r="D53" s="6" t="s">
        <v>55</v>
      </c>
      <c r="E53" s="7" t="n">
        <v>360000</v>
      </c>
      <c r="F53" s="6" t="s">
        <v>15</v>
      </c>
      <c r="G53" s="5" t="s">
        <v>16</v>
      </c>
      <c r="H53" s="7" t="n">
        <v>450000</v>
      </c>
      <c r="I53" s="7" t="n">
        <f aca="false">IF(OR(E53="",H53=""),"",H53-E53)</f>
        <v>90000</v>
      </c>
      <c r="J53" s="5" t="s">
        <v>144</v>
      </c>
      <c r="K53" s="5" t="s">
        <v>145</v>
      </c>
    </row>
    <row r="54" customFormat="false" ht="15" hidden="false" customHeight="false" outlineLevel="0" collapsed="false">
      <c r="A54" s="5" t="s">
        <v>146</v>
      </c>
      <c r="B54" s="6" t="s">
        <v>147</v>
      </c>
      <c r="C54" s="6" t="s">
        <v>92</v>
      </c>
      <c r="D54" s="6" t="s">
        <v>55</v>
      </c>
      <c r="E54" s="7" t="n">
        <v>360000</v>
      </c>
      <c r="F54" s="6" t="s">
        <v>15</v>
      </c>
      <c r="G54" s="5" t="s">
        <v>16</v>
      </c>
      <c r="H54" s="7" t="n">
        <v>450000</v>
      </c>
      <c r="I54" s="7" t="n">
        <f aca="false">IF(OR(E54="",H54=""),"",H54-E54)</f>
        <v>90000</v>
      </c>
      <c r="J54" s="5" t="s">
        <v>144</v>
      </c>
      <c r="K54" s="5" t="s">
        <v>145</v>
      </c>
    </row>
    <row r="55" customFormat="false" ht="15" hidden="false" customHeight="false" outlineLevel="0" collapsed="false">
      <c r="A55" s="5" t="s">
        <v>148</v>
      </c>
      <c r="B55" s="6" t="s">
        <v>149</v>
      </c>
      <c r="C55" s="6" t="s">
        <v>108</v>
      </c>
      <c r="D55" s="6" t="s">
        <v>55</v>
      </c>
      <c r="E55" s="7" t="n">
        <v>315000</v>
      </c>
      <c r="F55" s="6" t="s">
        <v>15</v>
      </c>
      <c r="G55" s="5" t="s">
        <v>16</v>
      </c>
      <c r="H55" s="7" t="n">
        <v>450000</v>
      </c>
      <c r="I55" s="7" t="n">
        <f aca="false">IF(OR(E55="",H55=""),"",H55-E55)</f>
        <v>135000</v>
      </c>
      <c r="J55" s="5" t="s">
        <v>144</v>
      </c>
      <c r="K55" s="5" t="s">
        <v>150</v>
      </c>
    </row>
    <row r="56" customFormat="false" ht="15" hidden="false" customHeight="false" outlineLevel="0" collapsed="false">
      <c r="A56" s="5" t="s">
        <v>151</v>
      </c>
      <c r="B56" s="6" t="s">
        <v>152</v>
      </c>
      <c r="C56" s="6" t="s">
        <v>126</v>
      </c>
      <c r="D56" s="6" t="s">
        <v>55</v>
      </c>
      <c r="E56" s="7" t="n">
        <v>315000</v>
      </c>
      <c r="F56" s="6" t="s">
        <v>15</v>
      </c>
      <c r="G56" s="5" t="s">
        <v>16</v>
      </c>
      <c r="H56" s="7" t="n">
        <v>450000</v>
      </c>
      <c r="I56" s="7" t="n">
        <f aca="false">IF(OR(E56="",H56=""),"",H56-E56)</f>
        <v>135000</v>
      </c>
      <c r="J56" s="5" t="s">
        <v>144</v>
      </c>
      <c r="K56" s="5" t="s">
        <v>150</v>
      </c>
    </row>
    <row r="57" customFormat="false" ht="15" hidden="false" customHeight="false" outlineLevel="0" collapsed="false">
      <c r="A57" s="5" t="s">
        <v>153</v>
      </c>
      <c r="B57" s="5"/>
      <c r="C57" s="6" t="s">
        <v>13</v>
      </c>
      <c r="D57" s="6" t="s">
        <v>154</v>
      </c>
      <c r="E57" s="7"/>
      <c r="F57" s="6" t="s">
        <v>15</v>
      </c>
      <c r="G57" s="5" t="s">
        <v>16</v>
      </c>
      <c r="H57" s="7" t="n">
        <v>450000</v>
      </c>
      <c r="I57" s="7" t="str">
        <f aca="false">IF(OR(E57="",H57=""),"",H57-E57)</f>
        <v/>
      </c>
      <c r="J57" s="5" t="s">
        <v>155</v>
      </c>
      <c r="K57" s="5" t="s">
        <v>156</v>
      </c>
    </row>
    <row r="58" customFormat="false" ht="15" hidden="false" customHeight="false" outlineLevel="0" collapsed="false">
      <c r="A58" s="5" t="s">
        <v>153</v>
      </c>
      <c r="B58" s="5"/>
      <c r="C58" s="6" t="s">
        <v>39</v>
      </c>
      <c r="D58" s="6" t="s">
        <v>154</v>
      </c>
      <c r="E58" s="7"/>
      <c r="F58" s="6" t="s">
        <v>15</v>
      </c>
      <c r="G58" s="5" t="s">
        <v>16</v>
      </c>
      <c r="H58" s="7" t="n">
        <v>450000</v>
      </c>
      <c r="I58" s="7" t="str">
        <f aca="false">IF(OR(E58="",H58=""),"",H58-E58)</f>
        <v/>
      </c>
      <c r="J58" s="5" t="s">
        <v>155</v>
      </c>
      <c r="K58" s="5" t="s">
        <v>156</v>
      </c>
    </row>
    <row r="59" customFormat="false" ht="15" hidden="false" customHeight="false" outlineLevel="0" collapsed="false">
      <c r="A59" s="5" t="s">
        <v>153</v>
      </c>
      <c r="B59" s="5"/>
      <c r="C59" s="6" t="s">
        <v>79</v>
      </c>
      <c r="D59" s="6" t="s">
        <v>154</v>
      </c>
      <c r="E59" s="7"/>
      <c r="F59" s="6" t="s">
        <v>15</v>
      </c>
      <c r="G59" s="5" t="s">
        <v>16</v>
      </c>
      <c r="H59" s="7" t="n">
        <v>450000</v>
      </c>
      <c r="I59" s="7" t="str">
        <f aca="false">IF(OR(E59="",H59=""),"",H59-E59)</f>
        <v/>
      </c>
      <c r="J59" s="5" t="s">
        <v>155</v>
      </c>
      <c r="K59" s="5" t="s">
        <v>156</v>
      </c>
    </row>
    <row r="60" customFormat="false" ht="15" hidden="false" customHeight="false" outlineLevel="0" collapsed="false">
      <c r="A60" s="8" t="s">
        <v>157</v>
      </c>
      <c r="B60" s="8"/>
      <c r="C60" s="9" t="s">
        <v>13</v>
      </c>
      <c r="D60" s="9" t="s">
        <v>158</v>
      </c>
      <c r="E60" s="10"/>
      <c r="F60" s="9" t="s">
        <v>15</v>
      </c>
      <c r="G60" s="8" t="s">
        <v>16</v>
      </c>
      <c r="H60" s="10" t="n">
        <v>450000</v>
      </c>
      <c r="I60" s="10" t="str">
        <f aca="false">IF(OR(E60="",H60=""),"",H60-E60)</f>
        <v/>
      </c>
      <c r="J60" s="8" t="s">
        <v>159</v>
      </c>
      <c r="K60" s="8" t="s">
        <v>160</v>
      </c>
    </row>
    <row r="61" customFormat="false" ht="15" hidden="false" customHeight="false" outlineLevel="0" collapsed="false">
      <c r="A61" s="8" t="s">
        <v>161</v>
      </c>
      <c r="B61" s="8"/>
      <c r="C61" s="9" t="s">
        <v>39</v>
      </c>
      <c r="D61" s="9" t="s">
        <v>158</v>
      </c>
      <c r="E61" s="10"/>
      <c r="F61" s="9" t="s">
        <v>15</v>
      </c>
      <c r="G61" s="8" t="s">
        <v>16</v>
      </c>
      <c r="H61" s="10" t="n">
        <v>450000</v>
      </c>
      <c r="I61" s="10" t="str">
        <f aca="false">IF(OR(E61="",H61=""),"",H61-E61)</f>
        <v/>
      </c>
      <c r="J61" s="8" t="s">
        <v>159</v>
      </c>
      <c r="K61" s="8" t="s">
        <v>160</v>
      </c>
    </row>
    <row r="62" customFormat="false" ht="15" hidden="false" customHeight="false" outlineLevel="0" collapsed="false">
      <c r="A62" s="8" t="s">
        <v>162</v>
      </c>
      <c r="B62" s="8"/>
      <c r="C62" s="9" t="s">
        <v>62</v>
      </c>
      <c r="D62" s="9" t="s">
        <v>158</v>
      </c>
      <c r="E62" s="10"/>
      <c r="F62" s="9" t="s">
        <v>15</v>
      </c>
      <c r="G62" s="8" t="s">
        <v>16</v>
      </c>
      <c r="H62" s="10" t="n">
        <v>450000</v>
      </c>
      <c r="I62" s="10" t="str">
        <f aca="false">IF(OR(E62="",H62=""),"",H62-E62)</f>
        <v/>
      </c>
      <c r="J62" s="8" t="s">
        <v>159</v>
      </c>
      <c r="K62" s="8" t="s">
        <v>160</v>
      </c>
    </row>
    <row r="63" customFormat="false" ht="15" hidden="false" customHeight="false" outlineLevel="0" collapsed="false">
      <c r="A63" s="8" t="s">
        <v>163</v>
      </c>
      <c r="B63" s="8"/>
      <c r="C63" s="9" t="s">
        <v>62</v>
      </c>
      <c r="D63" s="9" t="s">
        <v>158</v>
      </c>
      <c r="E63" s="10"/>
      <c r="F63" s="8" t="s">
        <v>51</v>
      </c>
      <c r="G63" s="8" t="s">
        <v>51</v>
      </c>
      <c r="H63" s="10"/>
      <c r="I63" s="10" t="str">
        <f aca="false">IF(OR(E63="",H63=""),"",H63-E63)</f>
        <v/>
      </c>
      <c r="J63" s="8" t="s">
        <v>159</v>
      </c>
      <c r="K63" s="8" t="s">
        <v>160</v>
      </c>
    </row>
    <row r="64" customFormat="false" ht="15" hidden="false" customHeight="false" outlineLevel="0" collapsed="false">
      <c r="A64" s="8" t="s">
        <v>164</v>
      </c>
      <c r="B64" s="8"/>
      <c r="C64" s="9" t="s">
        <v>79</v>
      </c>
      <c r="D64" s="9" t="s">
        <v>158</v>
      </c>
      <c r="E64" s="10"/>
      <c r="F64" s="9" t="s">
        <v>15</v>
      </c>
      <c r="G64" s="8" t="s">
        <v>16</v>
      </c>
      <c r="H64" s="10" t="n">
        <v>450000</v>
      </c>
      <c r="I64" s="10" t="str">
        <f aca="false">IF(OR(E64="",H64=""),"",H64-E64)</f>
        <v/>
      </c>
      <c r="J64" s="8" t="s">
        <v>159</v>
      </c>
      <c r="K64" s="8" t="s">
        <v>160</v>
      </c>
    </row>
    <row r="65" customFormat="false" ht="15" hidden="false" customHeight="false" outlineLevel="0" collapsed="false">
      <c r="A65" s="8" t="s">
        <v>165</v>
      </c>
      <c r="B65" s="8"/>
      <c r="C65" s="9" t="s">
        <v>79</v>
      </c>
      <c r="D65" s="9" t="s">
        <v>158</v>
      </c>
      <c r="E65" s="10"/>
      <c r="F65" s="9" t="s">
        <v>15</v>
      </c>
      <c r="G65" s="8" t="s">
        <v>16</v>
      </c>
      <c r="H65" s="10" t="n">
        <v>450000</v>
      </c>
      <c r="I65" s="10" t="str">
        <f aca="false">IF(OR(E65="",H65=""),"",H65-E65)</f>
        <v/>
      </c>
      <c r="J65" s="8" t="s">
        <v>159</v>
      </c>
      <c r="K65" s="8" t="s">
        <v>160</v>
      </c>
    </row>
    <row r="66" customFormat="false" ht="15" hidden="false" customHeight="false" outlineLevel="0" collapsed="false">
      <c r="A66" s="8" t="s">
        <v>166</v>
      </c>
      <c r="B66" s="8"/>
      <c r="C66" s="9" t="s">
        <v>108</v>
      </c>
      <c r="D66" s="9" t="s">
        <v>158</v>
      </c>
      <c r="E66" s="10"/>
      <c r="F66" s="9" t="s">
        <v>15</v>
      </c>
      <c r="G66" s="8" t="s">
        <v>16</v>
      </c>
      <c r="H66" s="10" t="n">
        <v>450000</v>
      </c>
      <c r="I66" s="10" t="str">
        <f aca="false">IF(OR(E66="",H66=""),"",H66-E66)</f>
        <v/>
      </c>
      <c r="J66" s="8" t="s">
        <v>159</v>
      </c>
      <c r="K66" s="8" t="s">
        <v>160</v>
      </c>
    </row>
    <row r="67" customFormat="false" ht="15" hidden="false" customHeight="false" outlineLevel="0" collapsed="false">
      <c r="A67" s="8" t="s">
        <v>167</v>
      </c>
      <c r="B67" s="8"/>
      <c r="C67" s="9" t="s">
        <v>126</v>
      </c>
      <c r="D67" s="9" t="s">
        <v>158</v>
      </c>
      <c r="E67" s="10"/>
      <c r="F67" s="9" t="s">
        <v>15</v>
      </c>
      <c r="G67" s="8" t="s">
        <v>16</v>
      </c>
      <c r="H67" s="10" t="n">
        <v>450000</v>
      </c>
      <c r="I67" s="10" t="str">
        <f aca="false">IF(OR(E67="",H67=""),"",H67-E67)</f>
        <v/>
      </c>
      <c r="J67" s="8" t="s">
        <v>159</v>
      </c>
      <c r="K67" s="8" t="s">
        <v>160</v>
      </c>
    </row>
    <row r="68" customFormat="false" ht="15" hidden="false" customHeight="false" outlineLevel="0" collapsed="false">
      <c r="A68" s="8" t="s">
        <v>168</v>
      </c>
      <c r="B68" s="8"/>
      <c r="C68" s="9" t="s">
        <v>126</v>
      </c>
      <c r="D68" s="9" t="s">
        <v>158</v>
      </c>
      <c r="E68" s="10"/>
      <c r="F68" s="8" t="s">
        <v>51</v>
      </c>
      <c r="G68" s="8" t="s">
        <v>51</v>
      </c>
      <c r="H68" s="10"/>
      <c r="I68" s="10" t="str">
        <f aca="false">IF(OR(E68="",H68=""),"",H68-E68)</f>
        <v/>
      </c>
      <c r="J68" s="8" t="s">
        <v>159</v>
      </c>
      <c r="K68" s="8" t="s">
        <v>160</v>
      </c>
    </row>
    <row r="69" customFormat="false" ht="15" hidden="false" customHeight="false" outlineLevel="0" collapsed="false">
      <c r="A69" s="8" t="s">
        <v>169</v>
      </c>
      <c r="B69" s="8"/>
      <c r="C69" s="9" t="s">
        <v>170</v>
      </c>
      <c r="D69" s="9" t="s">
        <v>171</v>
      </c>
      <c r="E69" s="10"/>
      <c r="F69" s="9" t="s">
        <v>15</v>
      </c>
      <c r="G69" s="8" t="s">
        <v>16</v>
      </c>
      <c r="H69" s="10" t="n">
        <v>450000</v>
      </c>
      <c r="I69" s="10" t="str">
        <f aca="false">IF(OR(E69="",H69=""),"",H69-E69)</f>
        <v/>
      </c>
      <c r="J69" s="8" t="s">
        <v>159</v>
      </c>
      <c r="K69" s="8" t="s">
        <v>172</v>
      </c>
    </row>
    <row r="70" customFormat="false" ht="15" hidden="false" customHeight="false" outlineLevel="0" collapsed="false">
      <c r="A70" s="8" t="s">
        <v>173</v>
      </c>
      <c r="B70" s="8"/>
      <c r="C70" s="9" t="s">
        <v>170</v>
      </c>
      <c r="D70" s="9" t="s">
        <v>171</v>
      </c>
      <c r="E70" s="10"/>
      <c r="F70" s="9" t="s">
        <v>15</v>
      </c>
      <c r="G70" s="8" t="s">
        <v>16</v>
      </c>
      <c r="H70" s="10" t="n">
        <v>450000</v>
      </c>
      <c r="I70" s="10" t="str">
        <f aca="false">IF(OR(E70="",H70=""),"",H70-E70)</f>
        <v/>
      </c>
      <c r="J70" s="8" t="s">
        <v>159</v>
      </c>
      <c r="K70" s="8" t="s">
        <v>172</v>
      </c>
    </row>
    <row r="71" customFormat="false" ht="15" hidden="false" customHeight="false" outlineLevel="0" collapsed="false">
      <c r="A71" s="8" t="s">
        <v>174</v>
      </c>
      <c r="B71" s="8"/>
      <c r="C71" s="9" t="s">
        <v>170</v>
      </c>
      <c r="D71" s="9" t="s">
        <v>171</v>
      </c>
      <c r="E71" s="10"/>
      <c r="F71" s="8" t="s">
        <v>51</v>
      </c>
      <c r="G71" s="8" t="s">
        <v>51</v>
      </c>
      <c r="H71" s="10"/>
      <c r="I71" s="10" t="str">
        <f aca="false">IF(OR(E71="",H71=""),"",H71-E71)</f>
        <v/>
      </c>
      <c r="J71" s="8" t="s">
        <v>159</v>
      </c>
      <c r="K71" s="8" t="s">
        <v>172</v>
      </c>
    </row>
    <row r="72" customFormat="false" ht="15" hidden="false" customHeight="false" outlineLevel="0" collapsed="false">
      <c r="A72" s="8" t="s">
        <v>175</v>
      </c>
      <c r="B72" s="8"/>
      <c r="C72" s="9" t="s">
        <v>170</v>
      </c>
      <c r="D72" s="9" t="s">
        <v>171</v>
      </c>
      <c r="E72" s="10"/>
      <c r="F72" s="9" t="s">
        <v>15</v>
      </c>
      <c r="G72" s="8" t="s">
        <v>16</v>
      </c>
      <c r="H72" s="10" t="n">
        <v>450000</v>
      </c>
      <c r="I72" s="10" t="str">
        <f aca="false">IF(OR(E72="",H72=""),"",H72-E72)</f>
        <v/>
      </c>
      <c r="J72" s="8" t="s">
        <v>159</v>
      </c>
      <c r="K72" s="8" t="s">
        <v>172</v>
      </c>
    </row>
    <row r="73" customFormat="false" ht="15" hidden="false" customHeight="false" outlineLevel="0" collapsed="false">
      <c r="A73" s="8" t="s">
        <v>176</v>
      </c>
      <c r="B73" s="8"/>
      <c r="C73" s="9" t="s">
        <v>170</v>
      </c>
      <c r="D73" s="9" t="s">
        <v>171</v>
      </c>
      <c r="E73" s="10"/>
      <c r="F73" s="9" t="s">
        <v>45</v>
      </c>
      <c r="G73" s="8" t="s">
        <v>16</v>
      </c>
      <c r="H73" s="10" t="n">
        <v>325000</v>
      </c>
      <c r="I73" s="10" t="str">
        <f aca="false">IF(OR(E73="",H73=""),"",H73-E73)</f>
        <v/>
      </c>
      <c r="J73" s="8" t="s">
        <v>159</v>
      </c>
      <c r="K73" s="8" t="s">
        <v>172</v>
      </c>
    </row>
    <row r="74" customFormat="false" ht="15" hidden="false" customHeight="false" outlineLevel="0" collapsed="false">
      <c r="A74" s="8" t="s">
        <v>177</v>
      </c>
      <c r="B74" s="8"/>
      <c r="C74" s="9" t="s">
        <v>170</v>
      </c>
      <c r="D74" s="9" t="s">
        <v>171</v>
      </c>
      <c r="E74" s="10"/>
      <c r="F74" s="9" t="s">
        <v>15</v>
      </c>
      <c r="G74" s="8" t="s">
        <v>16</v>
      </c>
      <c r="H74" s="10" t="n">
        <v>450000</v>
      </c>
      <c r="I74" s="10" t="str">
        <f aca="false">IF(OR(E74="",H74=""),"",H74-E74)</f>
        <v/>
      </c>
      <c r="J74" s="8" t="s">
        <v>159</v>
      </c>
      <c r="K74" s="8" t="s">
        <v>172</v>
      </c>
    </row>
    <row r="75" customFormat="false" ht="15" hidden="false" customHeight="false" outlineLevel="0" collapsed="false">
      <c r="A75" s="8" t="s">
        <v>178</v>
      </c>
      <c r="B75" s="8"/>
      <c r="C75" s="9" t="s">
        <v>170</v>
      </c>
      <c r="D75" s="9" t="s">
        <v>171</v>
      </c>
      <c r="E75" s="10"/>
      <c r="F75" s="9" t="s">
        <v>15</v>
      </c>
      <c r="G75" s="8" t="s">
        <v>16</v>
      </c>
      <c r="H75" s="10" t="n">
        <v>450000</v>
      </c>
      <c r="I75" s="10" t="str">
        <f aca="false">IF(OR(E75="",H75=""),"",H75-E75)</f>
        <v/>
      </c>
      <c r="J75" s="8" t="s">
        <v>159</v>
      </c>
      <c r="K75" s="8" t="s">
        <v>172</v>
      </c>
    </row>
    <row r="76" customFormat="false" ht="15" hidden="false" customHeight="false" outlineLevel="0" collapsed="false">
      <c r="A76" s="8" t="s">
        <v>179</v>
      </c>
      <c r="B76" s="8"/>
      <c r="C76" s="9" t="s">
        <v>170</v>
      </c>
      <c r="D76" s="9" t="s">
        <v>171</v>
      </c>
      <c r="E76" s="10"/>
      <c r="F76" s="9" t="s">
        <v>15</v>
      </c>
      <c r="G76" s="8" t="s">
        <v>16</v>
      </c>
      <c r="H76" s="10" t="n">
        <v>450000</v>
      </c>
      <c r="I76" s="10" t="str">
        <f aca="false">IF(OR(E76="",H76=""),"",H76-E76)</f>
        <v/>
      </c>
      <c r="J76" s="8" t="s">
        <v>159</v>
      </c>
      <c r="K76" s="8" t="s">
        <v>172</v>
      </c>
    </row>
    <row r="77" customFormat="false" ht="15" hidden="false" customHeight="false" outlineLevel="0" collapsed="false">
      <c r="A77" s="8" t="s">
        <v>180</v>
      </c>
      <c r="B77" s="8"/>
      <c r="C77" s="9" t="s">
        <v>170</v>
      </c>
      <c r="D77" s="9" t="s">
        <v>171</v>
      </c>
      <c r="E77" s="10"/>
      <c r="F77" s="9" t="s">
        <v>15</v>
      </c>
      <c r="G77" s="8" t="s">
        <v>16</v>
      </c>
      <c r="H77" s="10" t="n">
        <v>450000</v>
      </c>
      <c r="I77" s="10" t="str">
        <f aca="false">IF(OR(E77="",H77=""),"",H77-E77)</f>
        <v/>
      </c>
      <c r="J77" s="8" t="s">
        <v>159</v>
      </c>
      <c r="K77" s="8" t="s">
        <v>172</v>
      </c>
    </row>
    <row r="78" customFormat="false" ht="15" hidden="false" customHeight="false" outlineLevel="0" collapsed="false">
      <c r="A78" s="8" t="s">
        <v>181</v>
      </c>
      <c r="B78" s="8"/>
      <c r="C78" s="9" t="s">
        <v>170</v>
      </c>
      <c r="D78" s="9" t="s">
        <v>171</v>
      </c>
      <c r="E78" s="10"/>
      <c r="F78" s="9" t="s">
        <v>15</v>
      </c>
      <c r="G78" s="8" t="s">
        <v>16</v>
      </c>
      <c r="H78" s="10" t="n">
        <v>450000</v>
      </c>
      <c r="I78" s="10" t="str">
        <f aca="false">IF(OR(E78="",H78=""),"",H78-E78)</f>
        <v/>
      </c>
      <c r="J78" s="8" t="s">
        <v>159</v>
      </c>
      <c r="K78" s="8" t="s">
        <v>172</v>
      </c>
    </row>
    <row r="79" customFormat="false" ht="15" hidden="false" customHeight="false" outlineLevel="0" collapsed="false">
      <c r="A79" s="8" t="s">
        <v>182</v>
      </c>
      <c r="B79" s="8"/>
      <c r="C79" s="9" t="s">
        <v>170</v>
      </c>
      <c r="D79" s="9" t="s">
        <v>171</v>
      </c>
      <c r="E79" s="10"/>
      <c r="F79" s="9" t="s">
        <v>45</v>
      </c>
      <c r="G79" s="8" t="s">
        <v>16</v>
      </c>
      <c r="H79" s="10" t="n">
        <v>325000</v>
      </c>
      <c r="I79" s="10" t="str">
        <f aca="false">IF(OR(E79="",H79=""),"",H79-E79)</f>
        <v/>
      </c>
      <c r="J79" s="8" t="s">
        <v>159</v>
      </c>
      <c r="K79" s="8" t="s">
        <v>172</v>
      </c>
    </row>
    <row r="80" customFormat="false" ht="15" hidden="false" customHeight="false" outlineLevel="0" collapsed="false">
      <c r="A80" s="11" t="s">
        <v>183</v>
      </c>
      <c r="B80" s="12" t="s">
        <v>184</v>
      </c>
      <c r="C80" s="12" t="s">
        <v>13</v>
      </c>
      <c r="D80" s="12" t="s">
        <v>185</v>
      </c>
      <c r="E80" s="13" t="n">
        <v>405000</v>
      </c>
      <c r="F80" s="12" t="s">
        <v>15</v>
      </c>
      <c r="G80" s="12" t="s">
        <v>129</v>
      </c>
      <c r="H80" s="13" t="n">
        <v>405000</v>
      </c>
      <c r="I80" s="13" t="n">
        <f aca="false">IF(OR(E80="",H80=""),"",H80-E80)</f>
        <v>0</v>
      </c>
      <c r="J80" s="11" t="s">
        <v>186</v>
      </c>
      <c r="K80" s="11"/>
    </row>
    <row r="81" customFormat="false" ht="15" hidden="false" customHeight="false" outlineLevel="0" collapsed="false">
      <c r="A81" s="11" t="s">
        <v>187</v>
      </c>
      <c r="B81" s="12" t="s">
        <v>188</v>
      </c>
      <c r="C81" s="12" t="s">
        <v>13</v>
      </c>
      <c r="D81" s="12" t="s">
        <v>109</v>
      </c>
      <c r="E81" s="13"/>
      <c r="F81" s="11" t="s">
        <v>51</v>
      </c>
      <c r="G81" s="11" t="s">
        <v>51</v>
      </c>
      <c r="H81" s="13"/>
      <c r="I81" s="13" t="str">
        <f aca="false">IF(OR(E81="",H81=""),"",H81-E81)</f>
        <v/>
      </c>
      <c r="J81" s="11" t="s">
        <v>186</v>
      </c>
      <c r="K81" s="11" t="s">
        <v>189</v>
      </c>
    </row>
    <row r="82" customFormat="false" ht="15" hidden="false" customHeight="false" outlineLevel="0" collapsed="false">
      <c r="A82" s="11" t="s">
        <v>190</v>
      </c>
      <c r="B82" s="12" t="s">
        <v>191</v>
      </c>
      <c r="C82" s="12" t="s">
        <v>13</v>
      </c>
      <c r="D82" s="12" t="s">
        <v>44</v>
      </c>
      <c r="E82" s="13" t="n">
        <v>450000</v>
      </c>
      <c r="F82" s="12" t="s">
        <v>15</v>
      </c>
      <c r="G82" s="11" t="s">
        <v>16</v>
      </c>
      <c r="H82" s="13" t="n">
        <v>450000</v>
      </c>
      <c r="I82" s="13" t="n">
        <f aca="false">IF(OR(E82="",H82=""),"",H82-E82)</f>
        <v>0</v>
      </c>
      <c r="J82" s="11" t="s">
        <v>186</v>
      </c>
      <c r="K82" s="11"/>
    </row>
    <row r="83" customFormat="false" ht="15" hidden="false" customHeight="false" outlineLevel="0" collapsed="false">
      <c r="A83" s="11" t="s">
        <v>192</v>
      </c>
      <c r="B83" s="12" t="s">
        <v>193</v>
      </c>
      <c r="C83" s="12" t="s">
        <v>39</v>
      </c>
      <c r="D83" s="12" t="s">
        <v>185</v>
      </c>
      <c r="E83" s="13" t="n">
        <v>405000</v>
      </c>
      <c r="F83" s="12" t="s">
        <v>15</v>
      </c>
      <c r="G83" s="12" t="s">
        <v>129</v>
      </c>
      <c r="H83" s="13" t="n">
        <v>405000</v>
      </c>
      <c r="I83" s="13" t="n">
        <f aca="false">IF(OR(E83="",H83=""),"",H83-E83)</f>
        <v>0</v>
      </c>
      <c r="J83" s="11" t="s">
        <v>186</v>
      </c>
      <c r="K83" s="11"/>
    </row>
    <row r="84" customFormat="false" ht="15" hidden="false" customHeight="false" outlineLevel="0" collapsed="false">
      <c r="A84" s="11" t="s">
        <v>194</v>
      </c>
      <c r="B84" s="12" t="s">
        <v>195</v>
      </c>
      <c r="C84" s="12" t="s">
        <v>39</v>
      </c>
      <c r="D84" s="12" t="s">
        <v>109</v>
      </c>
      <c r="E84" s="13"/>
      <c r="F84" s="11" t="s">
        <v>51</v>
      </c>
      <c r="G84" s="11" t="s">
        <v>51</v>
      </c>
      <c r="H84" s="13"/>
      <c r="I84" s="13" t="str">
        <f aca="false">IF(OR(E84="",H84=""),"",H84-E84)</f>
        <v/>
      </c>
      <c r="J84" s="11" t="s">
        <v>186</v>
      </c>
      <c r="K84" s="11" t="s">
        <v>189</v>
      </c>
    </row>
    <row r="85" customFormat="false" ht="15" hidden="false" customHeight="false" outlineLevel="0" collapsed="false">
      <c r="A85" s="11" t="s">
        <v>196</v>
      </c>
      <c r="B85" s="12" t="s">
        <v>197</v>
      </c>
      <c r="C85" s="12" t="s">
        <v>39</v>
      </c>
      <c r="D85" s="12" t="s">
        <v>44</v>
      </c>
      <c r="E85" s="13" t="n">
        <v>450000</v>
      </c>
      <c r="F85" s="12" t="s">
        <v>15</v>
      </c>
      <c r="G85" s="11" t="s">
        <v>16</v>
      </c>
      <c r="H85" s="13" t="n">
        <v>450000</v>
      </c>
      <c r="I85" s="13" t="n">
        <f aca="false">IF(OR(E85="",H85=""),"",H85-E85)</f>
        <v>0</v>
      </c>
      <c r="J85" s="11" t="s">
        <v>186</v>
      </c>
      <c r="K85" s="11"/>
    </row>
    <row r="86" customFormat="false" ht="15" hidden="false" customHeight="false" outlineLevel="0" collapsed="false">
      <c r="A86" s="11" t="s">
        <v>198</v>
      </c>
      <c r="B86" s="12" t="s">
        <v>199</v>
      </c>
      <c r="C86" s="12" t="s">
        <v>39</v>
      </c>
      <c r="D86" s="12" t="s">
        <v>44</v>
      </c>
      <c r="E86" s="13" t="n">
        <v>450000</v>
      </c>
      <c r="F86" s="12" t="s">
        <v>15</v>
      </c>
      <c r="G86" s="11" t="s">
        <v>16</v>
      </c>
      <c r="H86" s="13" t="n">
        <v>450000</v>
      </c>
      <c r="I86" s="13" t="n">
        <f aca="false">IF(OR(E86="",H86=""),"",H86-E86)</f>
        <v>0</v>
      </c>
      <c r="J86" s="11" t="s">
        <v>186</v>
      </c>
      <c r="K86" s="11"/>
    </row>
    <row r="87" customFormat="false" ht="15" hidden="false" customHeight="false" outlineLevel="0" collapsed="false">
      <c r="A87" s="11" t="s">
        <v>200</v>
      </c>
      <c r="B87" s="12" t="s">
        <v>201</v>
      </c>
      <c r="C87" s="12" t="s">
        <v>62</v>
      </c>
      <c r="D87" s="12" t="s">
        <v>44</v>
      </c>
      <c r="E87" s="13" t="n">
        <v>450000</v>
      </c>
      <c r="F87" s="12" t="s">
        <v>15</v>
      </c>
      <c r="G87" s="11" t="s">
        <v>16</v>
      </c>
      <c r="H87" s="13" t="n">
        <v>450000</v>
      </c>
      <c r="I87" s="13" t="n">
        <f aca="false">IF(OR(E87="",H87=""),"",H87-E87)</f>
        <v>0</v>
      </c>
      <c r="J87" s="11" t="s">
        <v>186</v>
      </c>
      <c r="K87" s="11"/>
    </row>
    <row r="88" customFormat="false" ht="15" hidden="false" customHeight="false" outlineLevel="0" collapsed="false">
      <c r="A88" s="11" t="s">
        <v>202</v>
      </c>
      <c r="B88" s="12" t="s">
        <v>203</v>
      </c>
      <c r="C88" s="12" t="s">
        <v>62</v>
      </c>
      <c r="D88" s="12" t="s">
        <v>44</v>
      </c>
      <c r="E88" s="13" t="n">
        <v>450000</v>
      </c>
      <c r="F88" s="12" t="s">
        <v>15</v>
      </c>
      <c r="G88" s="11" t="s">
        <v>16</v>
      </c>
      <c r="H88" s="13" t="n">
        <v>450000</v>
      </c>
      <c r="I88" s="13" t="n">
        <f aca="false">IF(OR(E88="",H88=""),"",H88-E88)</f>
        <v>0</v>
      </c>
      <c r="J88" s="11" t="s">
        <v>186</v>
      </c>
      <c r="K88" s="11"/>
    </row>
    <row r="89" customFormat="false" ht="15" hidden="false" customHeight="false" outlineLevel="0" collapsed="false">
      <c r="A89" s="11" t="s">
        <v>204</v>
      </c>
      <c r="B89" s="12" t="s">
        <v>199</v>
      </c>
      <c r="C89" s="12" t="s">
        <v>62</v>
      </c>
      <c r="D89" s="12" t="s">
        <v>14</v>
      </c>
      <c r="E89" s="13" t="n">
        <v>405000</v>
      </c>
      <c r="F89" s="12" t="s">
        <v>15</v>
      </c>
      <c r="G89" s="12" t="s">
        <v>129</v>
      </c>
      <c r="H89" s="13" t="n">
        <v>405000</v>
      </c>
      <c r="I89" s="13" t="n">
        <f aca="false">IF(OR(E89="",H89=""),"",H89-E89)</f>
        <v>0</v>
      </c>
      <c r="J89" s="11" t="s">
        <v>186</v>
      </c>
      <c r="K89" s="11"/>
    </row>
    <row r="90" customFormat="false" ht="15" hidden="false" customHeight="false" outlineLevel="0" collapsed="false">
      <c r="A90" s="11" t="s">
        <v>205</v>
      </c>
      <c r="B90" s="11" t="s">
        <v>206</v>
      </c>
      <c r="C90" s="12" t="s">
        <v>79</v>
      </c>
      <c r="D90" s="12" t="s">
        <v>80</v>
      </c>
      <c r="E90" s="13" t="n">
        <v>450000</v>
      </c>
      <c r="F90" s="12" t="s">
        <v>15</v>
      </c>
      <c r="G90" s="11" t="s">
        <v>16</v>
      </c>
      <c r="H90" s="13" t="n">
        <v>450000</v>
      </c>
      <c r="I90" s="13" t="n">
        <f aca="false">IF(OR(E90="",H90=""),"",H90-E90)</f>
        <v>0</v>
      </c>
      <c r="J90" s="11" t="s">
        <v>186</v>
      </c>
      <c r="K90" s="11"/>
    </row>
    <row r="91" customFormat="false" ht="15" hidden="false" customHeight="false" outlineLevel="0" collapsed="false">
      <c r="A91" s="11" t="s">
        <v>207</v>
      </c>
      <c r="B91" s="12" t="s">
        <v>208</v>
      </c>
      <c r="C91" s="12" t="s">
        <v>79</v>
      </c>
      <c r="D91" s="12" t="s">
        <v>80</v>
      </c>
      <c r="E91" s="13" t="n">
        <v>450000</v>
      </c>
      <c r="F91" s="12" t="s">
        <v>15</v>
      </c>
      <c r="G91" s="11" t="s">
        <v>16</v>
      </c>
      <c r="H91" s="13" t="n">
        <v>450000</v>
      </c>
      <c r="I91" s="13" t="n">
        <f aca="false">IF(OR(E91="",H91=""),"",H91-E91)</f>
        <v>0</v>
      </c>
      <c r="J91" s="11" t="s">
        <v>186</v>
      </c>
      <c r="K91" s="11"/>
    </row>
    <row r="92" customFormat="false" ht="15" hidden="false" customHeight="false" outlineLevel="0" collapsed="false">
      <c r="A92" s="11" t="s">
        <v>209</v>
      </c>
      <c r="B92" s="12" t="s">
        <v>210</v>
      </c>
      <c r="C92" s="12" t="s">
        <v>79</v>
      </c>
      <c r="D92" s="12" t="s">
        <v>80</v>
      </c>
      <c r="E92" s="13" t="n">
        <v>450000</v>
      </c>
      <c r="F92" s="12" t="s">
        <v>15</v>
      </c>
      <c r="G92" s="11" t="s">
        <v>16</v>
      </c>
      <c r="H92" s="13" t="n">
        <v>450000</v>
      </c>
      <c r="I92" s="13" t="n">
        <f aca="false">IF(OR(E92="",H92=""),"",H92-E92)</f>
        <v>0</v>
      </c>
      <c r="J92" s="11" t="s">
        <v>186</v>
      </c>
      <c r="K92" s="11"/>
    </row>
    <row r="93" customFormat="false" ht="15" hidden="false" customHeight="false" outlineLevel="0" collapsed="false">
      <c r="A93" s="11" t="s">
        <v>211</v>
      </c>
      <c r="B93" s="12" t="s">
        <v>212</v>
      </c>
      <c r="C93" s="12" t="s">
        <v>79</v>
      </c>
      <c r="D93" s="12" t="s">
        <v>80</v>
      </c>
      <c r="E93" s="13" t="n">
        <v>450000</v>
      </c>
      <c r="F93" s="12" t="s">
        <v>15</v>
      </c>
      <c r="G93" s="11" t="s">
        <v>16</v>
      </c>
      <c r="H93" s="13" t="n">
        <v>450000</v>
      </c>
      <c r="I93" s="13" t="n">
        <f aca="false">IF(OR(E93="",H93=""),"",H93-E93)</f>
        <v>0</v>
      </c>
      <c r="J93" s="11" t="s">
        <v>186</v>
      </c>
      <c r="K93" s="11"/>
    </row>
    <row r="94" customFormat="false" ht="15" hidden="false" customHeight="false" outlineLevel="0" collapsed="false">
      <c r="A94" s="11" t="s">
        <v>213</v>
      </c>
      <c r="B94" s="12" t="s">
        <v>214</v>
      </c>
      <c r="C94" s="12" t="s">
        <v>79</v>
      </c>
      <c r="D94" s="12" t="s">
        <v>80</v>
      </c>
      <c r="E94" s="13" t="n">
        <v>450000</v>
      </c>
      <c r="F94" s="12" t="s">
        <v>15</v>
      </c>
      <c r="G94" s="11" t="s">
        <v>16</v>
      </c>
      <c r="H94" s="13" t="n">
        <v>450000</v>
      </c>
      <c r="I94" s="13" t="n">
        <f aca="false">IF(OR(E94="",H94=""),"",H94-E94)</f>
        <v>0</v>
      </c>
      <c r="J94" s="11" t="s">
        <v>186</v>
      </c>
      <c r="K94" s="11"/>
    </row>
    <row r="95" customFormat="false" ht="15" hidden="false" customHeight="false" outlineLevel="0" collapsed="false">
      <c r="A95" s="11" t="s">
        <v>215</v>
      </c>
      <c r="B95" s="12" t="s">
        <v>216</v>
      </c>
      <c r="C95" s="12" t="s">
        <v>79</v>
      </c>
      <c r="D95" s="12" t="s">
        <v>80</v>
      </c>
      <c r="E95" s="13" t="n">
        <v>450000</v>
      </c>
      <c r="F95" s="12" t="s">
        <v>15</v>
      </c>
      <c r="G95" s="11" t="s">
        <v>16</v>
      </c>
      <c r="H95" s="13" t="n">
        <v>450000</v>
      </c>
      <c r="I95" s="13" t="n">
        <f aca="false">IF(OR(E95="",H95=""),"",H95-E95)</f>
        <v>0</v>
      </c>
      <c r="J95" s="11" t="s">
        <v>186</v>
      </c>
      <c r="K95" s="11"/>
    </row>
    <row r="96" customFormat="false" ht="15" hidden="false" customHeight="false" outlineLevel="0" collapsed="false">
      <c r="A96" s="11" t="s">
        <v>217</v>
      </c>
      <c r="B96" s="12" t="s">
        <v>218</v>
      </c>
      <c r="C96" s="12" t="s">
        <v>92</v>
      </c>
      <c r="D96" s="12" t="s">
        <v>80</v>
      </c>
      <c r="E96" s="13" t="n">
        <v>450000</v>
      </c>
      <c r="F96" s="12" t="s">
        <v>15</v>
      </c>
      <c r="G96" s="11" t="s">
        <v>16</v>
      </c>
      <c r="H96" s="13" t="n">
        <v>450000</v>
      </c>
      <c r="I96" s="13" t="n">
        <f aca="false">IF(OR(E96="",H96=""),"",H96-E96)</f>
        <v>0</v>
      </c>
      <c r="J96" s="11" t="s">
        <v>186</v>
      </c>
      <c r="K96" s="11"/>
    </row>
    <row r="97" customFormat="false" ht="15" hidden="false" customHeight="false" outlineLevel="0" collapsed="false">
      <c r="A97" s="11" t="s">
        <v>219</v>
      </c>
      <c r="B97" s="12" t="s">
        <v>220</v>
      </c>
      <c r="C97" s="12" t="s">
        <v>92</v>
      </c>
      <c r="D97" s="12" t="s">
        <v>80</v>
      </c>
      <c r="E97" s="13" t="n">
        <v>450000</v>
      </c>
      <c r="F97" s="12" t="s">
        <v>15</v>
      </c>
      <c r="G97" s="11" t="s">
        <v>16</v>
      </c>
      <c r="H97" s="13" t="n">
        <v>450000</v>
      </c>
      <c r="I97" s="13" t="n">
        <f aca="false">IF(OR(E97="",H97=""),"",H97-E97)</f>
        <v>0</v>
      </c>
      <c r="J97" s="11" t="s">
        <v>186</v>
      </c>
      <c r="K97" s="11"/>
    </row>
    <row r="98" customFormat="false" ht="15" hidden="false" customHeight="false" outlineLevel="0" collapsed="false">
      <c r="A98" s="11" t="s">
        <v>221</v>
      </c>
      <c r="B98" s="12" t="s">
        <v>222</v>
      </c>
      <c r="C98" s="12" t="s">
        <v>92</v>
      </c>
      <c r="D98" s="12" t="s">
        <v>80</v>
      </c>
      <c r="E98" s="13" t="n">
        <v>450000</v>
      </c>
      <c r="F98" s="12" t="s">
        <v>15</v>
      </c>
      <c r="G98" s="11" t="s">
        <v>16</v>
      </c>
      <c r="H98" s="13" t="n">
        <v>450000</v>
      </c>
      <c r="I98" s="13" t="n">
        <f aca="false">IF(OR(E98="",H98=""),"",H98-E98)</f>
        <v>0</v>
      </c>
      <c r="J98" s="11" t="s">
        <v>186</v>
      </c>
      <c r="K98" s="11"/>
    </row>
    <row r="99" customFormat="false" ht="15" hidden="false" customHeight="false" outlineLevel="0" collapsed="false">
      <c r="A99" s="11" t="s">
        <v>223</v>
      </c>
      <c r="B99" s="12" t="s">
        <v>78</v>
      </c>
      <c r="C99" s="12" t="s">
        <v>92</v>
      </c>
      <c r="D99" s="12" t="s">
        <v>80</v>
      </c>
      <c r="E99" s="13" t="n">
        <v>450000</v>
      </c>
      <c r="F99" s="12" t="s">
        <v>15</v>
      </c>
      <c r="G99" s="11" t="s">
        <v>16</v>
      </c>
      <c r="H99" s="13" t="n">
        <v>450000</v>
      </c>
      <c r="I99" s="13" t="n">
        <f aca="false">IF(OR(E99="",H99=""),"",H99-E99)</f>
        <v>0</v>
      </c>
      <c r="J99" s="11" t="s">
        <v>186</v>
      </c>
      <c r="K99" s="11"/>
    </row>
    <row r="100" customFormat="false" ht="15" hidden="false" customHeight="false" outlineLevel="0" collapsed="false">
      <c r="A100" s="11" t="s">
        <v>224</v>
      </c>
      <c r="B100" s="12" t="s">
        <v>225</v>
      </c>
      <c r="C100" s="12" t="s">
        <v>92</v>
      </c>
      <c r="D100" s="12" t="s">
        <v>80</v>
      </c>
      <c r="E100" s="13" t="n">
        <v>450000</v>
      </c>
      <c r="F100" s="12" t="s">
        <v>15</v>
      </c>
      <c r="G100" s="11" t="s">
        <v>16</v>
      </c>
      <c r="H100" s="13" t="n">
        <v>450000</v>
      </c>
      <c r="I100" s="13" t="n">
        <f aca="false">IF(OR(E100="",H100=""),"",H100-E100)</f>
        <v>0</v>
      </c>
      <c r="J100" s="11" t="s">
        <v>186</v>
      </c>
      <c r="K100" s="11"/>
    </row>
    <row r="101" customFormat="false" ht="15" hidden="false" customHeight="false" outlineLevel="0" collapsed="false">
      <c r="A101" s="11" t="s">
        <v>226</v>
      </c>
      <c r="B101" s="12" t="s">
        <v>141</v>
      </c>
      <c r="C101" s="12" t="s">
        <v>92</v>
      </c>
      <c r="D101" s="12" t="s">
        <v>80</v>
      </c>
      <c r="E101" s="13" t="n">
        <v>450000</v>
      </c>
      <c r="F101" s="12" t="s">
        <v>15</v>
      </c>
      <c r="G101" s="11" t="s">
        <v>16</v>
      </c>
      <c r="H101" s="13" t="n">
        <v>450000</v>
      </c>
      <c r="I101" s="13" t="n">
        <f aca="false">IF(OR(E101="",H101=""),"",H101-E101)</f>
        <v>0</v>
      </c>
      <c r="J101" s="11" t="s">
        <v>186</v>
      </c>
      <c r="K101" s="11"/>
    </row>
    <row r="102" customFormat="false" ht="15" hidden="false" customHeight="false" outlineLevel="0" collapsed="false">
      <c r="A102" s="11" t="s">
        <v>227</v>
      </c>
      <c r="B102" s="12" t="s">
        <v>228</v>
      </c>
      <c r="C102" s="12" t="s">
        <v>108</v>
      </c>
      <c r="D102" s="12" t="s">
        <v>80</v>
      </c>
      <c r="E102" s="13" t="n">
        <v>450000</v>
      </c>
      <c r="F102" s="12" t="s">
        <v>15</v>
      </c>
      <c r="G102" s="11" t="s">
        <v>16</v>
      </c>
      <c r="H102" s="13" t="n">
        <v>450000</v>
      </c>
      <c r="I102" s="13" t="n">
        <f aca="false">IF(OR(E102="",H102=""),"",H102-E102)</f>
        <v>0</v>
      </c>
      <c r="J102" s="11" t="s">
        <v>186</v>
      </c>
      <c r="K102" s="11"/>
    </row>
    <row r="103" customFormat="false" ht="15" hidden="false" customHeight="false" outlineLevel="0" collapsed="false">
      <c r="A103" s="11" t="s">
        <v>229</v>
      </c>
      <c r="B103" s="12" t="s">
        <v>230</v>
      </c>
      <c r="C103" s="12" t="s">
        <v>126</v>
      </c>
      <c r="D103" s="12" t="s">
        <v>80</v>
      </c>
      <c r="E103" s="13" t="n">
        <v>450000</v>
      </c>
      <c r="F103" s="12" t="s">
        <v>15</v>
      </c>
      <c r="G103" s="11" t="s">
        <v>16</v>
      </c>
      <c r="H103" s="13" t="n">
        <v>450000</v>
      </c>
      <c r="I103" s="13" t="n">
        <f aca="false">IF(OR(E103="",H103=""),"",H103-E103)</f>
        <v>0</v>
      </c>
      <c r="J103" s="11" t="s">
        <v>186</v>
      </c>
      <c r="K103" s="11"/>
    </row>
    <row r="105" customFormat="false" ht="15" hidden="false" customHeight="false" outlineLevel="0" collapsed="false">
      <c r="A105" s="14" t="s">
        <v>231</v>
      </c>
    </row>
    <row r="106" customFormat="false" ht="15" hidden="false" customHeight="false" outlineLevel="0" collapsed="false">
      <c r="A106" s="15" t="s">
        <v>232</v>
      </c>
    </row>
    <row r="107" customFormat="false" ht="15" hidden="false" customHeight="false" outlineLevel="0" collapsed="false">
      <c r="A107" s="15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2026-09-10T01:53:34Z</dcterms:created>
  <dc:creator>openpyxl</dc:creator>
  <dc:description/>
  <dc:language>en-US</dc:language>
  <cp:lastModifiedBy/>
  <dcterms:modified xsi:type="dcterms:W3CDTF">2026-09-10T01:53:34Z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